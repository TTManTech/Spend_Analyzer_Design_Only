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Projects\Spend Analyzer\"/>
    </mc:Choice>
  </mc:AlternateContent>
  <xr:revisionPtr revIDLastSave="0" documentId="13_ncr:1_{BC0E76A9-B87A-4313-8F1C-E25129CDA5C5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ransactions" sheetId="1" r:id="rId1"/>
    <sheet name="Income" sheetId="3" r:id="rId2"/>
    <sheet name="Notes" sheetId="2" r:id="rId3"/>
  </sheets>
  <definedNames>
    <definedName name="_xlnm._FilterDatabase" localSheetId="0" hidden="1">Transactions!$A$1:$G$554</definedName>
  </definedNames>
  <calcPr calcId="191029" fullCalcOnLoad="1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<sst xmlns="http://schemas.openxmlformats.org/spreadsheetml/2006/main" count="1886" uniqueCount="213">
  <si>
    <t>Bank Name</t>
  </si>
  <si>
    <t>Date</t>
  </si>
  <si>
    <t>Year</t>
  </si>
  <si>
    <t>Merchant Name / Transaction Description</t>
  </si>
  <si>
    <t>$ Amount</t>
  </si>
  <si>
    <t>Category of Spend</t>
  </si>
  <si>
    <t>Spend / Income</t>
  </si>
  <si>
    <t>Chase</t>
  </si>
  <si>
    <t>WM SUPERCENTER #3725 NILES IL</t>
  </si>
  <si>
    <t>Supermarket / Groceries</t>
  </si>
  <si>
    <t>SHELL OIL 57446509101 DES PLAINES IL</t>
  </si>
  <si>
    <t>Gas / Fuel</t>
  </si>
  <si>
    <t>AMZN Mktp US*2Q7UX1JW3 Amzn.com/bill WA</t>
  </si>
  <si>
    <t>Merchandise / Clothing</t>
  </si>
  <si>
    <t>AMZN Mktp US*398HK68G3 Amzn.com/bill WA</t>
  </si>
  <si>
    <t>AMZN Mktp US*LV50Z88Y3 Amzn.com/bill WA</t>
  </si>
  <si>
    <t>RAK CAFE 60715778 RIVERWOODS IL</t>
  </si>
  <si>
    <t>Restaurant / Fast-food</t>
  </si>
  <si>
    <t>SPEEDWAY 07649 923 N MILW BUFFALO GROVE IL</t>
  </si>
  <si>
    <t>WENDYS #1172 GLENVIEW IL</t>
  </si>
  <si>
    <t>MARKET@WORK 2067379149 RENTON WA</t>
  </si>
  <si>
    <t>GAMESTOP #7730 NILES IL</t>
  </si>
  <si>
    <t>AMZN Mktp US*ZJ7G84CG3 Amzn.com/bill WA</t>
  </si>
  <si>
    <t>AMZN Mktp US*VL0UG23J3 Amzn.com/bill WA</t>
  </si>
  <si>
    <t>AMZN Mktp US*KO8DP2ZD3 Amzn.com/bill WA</t>
  </si>
  <si>
    <t>HP *HP.COM STORE 888-345-5409 CA</t>
  </si>
  <si>
    <t>AMZN Mktp US*C88ZJ5C33 Amzn.com/bill WA</t>
  </si>
  <si>
    <t>COSTCO WHSE #0779 MT PROSPECT IL</t>
  </si>
  <si>
    <t>ROSS STORES #1567 MT PROSPECT IL</t>
  </si>
  <si>
    <t>AMZN Mktp US*A78DD8PB3 Amzn.com/bill WA</t>
  </si>
  <si>
    <t>AMZN Mktp US*EY0X696T3 Amzn.com/bill WA</t>
  </si>
  <si>
    <t>AMZN Mktp US*6R6OK0NM3 Amzn.com/bill WA</t>
  </si>
  <si>
    <t>FIVE BELOW 722 NILES IL</t>
  </si>
  <si>
    <t>IL TOLLWAY-WEB DOWNERS GROVE IL</t>
  </si>
  <si>
    <t>Travel &amp; Hospitality</t>
  </si>
  <si>
    <t>WAL-MART #3725 NILES IL</t>
  </si>
  <si>
    <t>SPEEDWAY 04248 DEERFIELD DEERFIELD IL</t>
  </si>
  <si>
    <t>BIG BOWL LINCOLNSHIRE LINCOLNSHIRE IL</t>
  </si>
  <si>
    <t>SHELL OIL 57444177208 NILES IL</t>
  </si>
  <si>
    <t>COSTCO GAS #0779 MOUNT PROSPEC IL</t>
  </si>
  <si>
    <t>ATOM TICKETS LLC 844-838-6284 CA</t>
  </si>
  <si>
    <t>Other</t>
  </si>
  <si>
    <t>BINNYS BEVERAGE DEPOT 018 NILES IL</t>
  </si>
  <si>
    <t>Beverages / Bar</t>
  </si>
  <si>
    <t>PANDA EXPRESS #2927 NILES IL</t>
  </si>
  <si>
    <t>DUNKIN #349715 Q35 DES PLAINES IL</t>
  </si>
  <si>
    <t>AUTOMATIC PAYMENT - THANK YOU</t>
  </si>
  <si>
    <t>Payment / Credit</t>
  </si>
  <si>
    <t>EXXONMOBIL 97603310 DES PLAINES IL</t>
  </si>
  <si>
    <t>WALGREENS #5711 DES PLAINES IL</t>
  </si>
  <si>
    <t>Pharmacy</t>
  </si>
  <si>
    <t>ROYAL MAHARAJA FOODS NILES IL</t>
  </si>
  <si>
    <t>PATEL BROTHERS NILES IL</t>
  </si>
  <si>
    <t>KAIRALI FOODS OF GLENVIE GLENVIEW IL</t>
  </si>
  <si>
    <t>JENNINGS VOLKSWAGEN INC GLENVIEW IL</t>
  </si>
  <si>
    <t>WENDYS #0996 DES PLAINES IL</t>
  </si>
  <si>
    <t>KOHL'S #0070 NILES IL</t>
  </si>
  <si>
    <t>WENDY'S 7001 NILES IL</t>
  </si>
  <si>
    <t>HALF PRICE BOOKS #087 NILES IL</t>
  </si>
  <si>
    <t>TACO BELL 036200 DES PLAINES IL</t>
  </si>
  <si>
    <t>TARGET 00011254 NILES IL</t>
  </si>
  <si>
    <t>PITA INN DES PLAINES IL</t>
  </si>
  <si>
    <t>MILAAP USA WWW.MILAAP.OR TX</t>
  </si>
  <si>
    <t>COSTCO WHSE #0348 GLENVIEW IL</t>
  </si>
  <si>
    <t>HOOTERS #17 SCHAUMBURG IL</t>
  </si>
  <si>
    <t>OLD NAVY US 3070 NILES IL</t>
  </si>
  <si>
    <t>BURLINGTON STORES 162 GLENVIEW IL</t>
  </si>
  <si>
    <t>SHELL OIL 57445800808 WYOMING MI</t>
  </si>
  <si>
    <t>BOYNE MOUNTAIN RETAIL BOYNE FALLS MI</t>
  </si>
  <si>
    <t>FRESH FARMS NILES IL</t>
  </si>
  <si>
    <t>SUBWAY 00312116 DES PLAINES IL</t>
  </si>
  <si>
    <t>CITY HALL CHICAGO IL</t>
  </si>
  <si>
    <t>PORTILLOS HOT DOGS #20 NILES IL</t>
  </si>
  <si>
    <t>Subway 31211 Des Plaines IL</t>
  </si>
  <si>
    <t>BAHAMA BREEZES00030296 SCHAUMBURG IL</t>
  </si>
  <si>
    <t>OBERWEIS DAIRY GLENVIEW IL</t>
  </si>
  <si>
    <t>BRUNCHCAFENILES NILES IL</t>
  </si>
  <si>
    <t>BINNYS BEVERAGE DEPOT 003 DES PLAINES IL</t>
  </si>
  <si>
    <t>INDIAN BISTRO EXPRESS NILES IL</t>
  </si>
  <si>
    <t>USA*VEND AT AIR SERV DEERFIELD IL</t>
  </si>
  <si>
    <t>WHOLEFDS NBK 10244 NORTHBROOK IL</t>
  </si>
  <si>
    <t>CHIPOTLE 1369 NILES IL</t>
  </si>
  <si>
    <t>TARGET 00011767 ARLINGTON HEI IL</t>
  </si>
  <si>
    <t>TOP GOLF SCHAUMBURG 62-2 SCHAUMBURG IL</t>
  </si>
  <si>
    <t>XSPORT NILES 877-417-1450 IL</t>
  </si>
  <si>
    <t>ROSS STORES #1543 NILES IL</t>
  </si>
  <si>
    <t>Philips.com shop 866-3093263 CT</t>
  </si>
  <si>
    <t>SQ *MORRIS EYECARE ASSOCI Prospect Heig IL</t>
  </si>
  <si>
    <t>TST* SABRI NIHARI RESTAUR CHICAGO IL</t>
  </si>
  <si>
    <t>Amazon.com*EI80T2813 Amzn.com/bill WA</t>
  </si>
  <si>
    <t>Amazon.com*BN3MI6UD3 Amzn.com/bill WA</t>
  </si>
  <si>
    <t>AMZN Mktp US*F00VW2NB3 Amzn.com/bill WA</t>
  </si>
  <si>
    <t>GAMESTOP #5068 GLENVIEW IL</t>
  </si>
  <si>
    <t>Amazon.com*XB85L6GU3 Amzn.com/bill WA</t>
  </si>
  <si>
    <t>AMZN Mktp US*9192G63M3 Amzn.com/bill WA</t>
  </si>
  <si>
    <t>Amazon.com*XZ3CQ9413 Amzn.com/bill WA</t>
  </si>
  <si>
    <t>TARGET 00009274 EVANSTON IL</t>
  </si>
  <si>
    <t>7-ELEVEN 30128 DES PLAINES IL</t>
  </si>
  <si>
    <t>AMZN Mktp US*6Y3YI0Z73 Amzn.com/bill WA</t>
  </si>
  <si>
    <t>Amazon.com*BH3O35973 Amzn.com/bill WA</t>
  </si>
  <si>
    <t>Amazon.com*0A0AQ5S13 Amzn.com/bill WA</t>
  </si>
  <si>
    <t>DD/BR #306011 Q35 GLENVIEW IL</t>
  </si>
  <si>
    <t>Payment Thank You-Mobile</t>
  </si>
  <si>
    <t>HONEST NILES NILES IL</t>
  </si>
  <si>
    <t>SMART WASH LAUNDRY - NILE NILES IL</t>
  </si>
  <si>
    <t>MCDONALD'S F1715 DES PLAINES IL</t>
  </si>
  <si>
    <t>CHICAGO LIVE POULTRY CHICAGO IL</t>
  </si>
  <si>
    <t>PANERA BREAD #601944 P SKOKIE IL</t>
  </si>
  <si>
    <t>JOCKEY CHICAGO IL AURORA IL</t>
  </si>
  <si>
    <t>GUESS #3204 AURORA IL</t>
  </si>
  <si>
    <t>SP * SRI VENKATESWARA AURORA IL</t>
  </si>
  <si>
    <t>CULVERS OF MORTON GROVE MORTON GROVE IL</t>
  </si>
  <si>
    <t>TST* PARIS BAGUETTE - GLE GLENVIEW IL</t>
  </si>
  <si>
    <t>WM SUPERCENTER #3198 CARROLLTON TX</t>
  </si>
  <si>
    <t>HILTON MEDIA GRILL BAR DALLAS TX</t>
  </si>
  <si>
    <t>KROGER 0460 CARROLTON TX</t>
  </si>
  <si>
    <t>HUDSON-DUNKIN ST1515 IRVING TX</t>
  </si>
  <si>
    <t>THALAIVAS INDIAN KITCHEN PARK RIDGE IL</t>
  </si>
  <si>
    <t>LOT D PAY ON FOOT CHICAGO IL</t>
  </si>
  <si>
    <t>WINGSTOP 1003 NILES IL</t>
  </si>
  <si>
    <t>DUNKIN #344808 Q35 PARK RIDGE IL</t>
  </si>
  <si>
    <t>SKY HOOKAH AND VAPE DES PLAINES IL</t>
  </si>
  <si>
    <t>THE HOME DEPOT 1987 GLENVIEW IL</t>
  </si>
  <si>
    <t>Home Improvement</t>
  </si>
  <si>
    <t>HARI OM GROCERIES PARK RIDGE IL</t>
  </si>
  <si>
    <t>COSTCO GAS #0348 GLENVIEW IL</t>
  </si>
  <si>
    <t>NEW ROYAL MALABAR GROCER GLENVIEW IL</t>
  </si>
  <si>
    <t>EXTRA VALUE FOOD &amp; LIQUOR DES PLAINES IL</t>
  </si>
  <si>
    <t>WAL-MART #6167 DES PLAINES IL</t>
  </si>
  <si>
    <t>NOODLES &amp; CO 613 GLENVIEW IL</t>
  </si>
  <si>
    <t>HRBLOCK RETAIL NILES IL</t>
  </si>
  <si>
    <t>BONCHON - GLENVIEW GLENVIEW IL</t>
  </si>
  <si>
    <t>STARBUCKS STORE 02623 NILES IL</t>
  </si>
  <si>
    <t>COSTCO WHSE #0383 NILES IL</t>
  </si>
  <si>
    <t>COSTCO GAS #0383 NILES IL</t>
  </si>
  <si>
    <t>CVS/PHARMACY #04396 PARK RIDGE IL</t>
  </si>
  <si>
    <t>THE HOME DEPOT 1981 NILES IL</t>
  </si>
  <si>
    <t>ROSS STORES #1527 CHICAGO IL</t>
  </si>
  <si>
    <t>CASTRO HAND CAR WASH DES PLAINES IL</t>
  </si>
  <si>
    <t>TST* PLATEIA DES PLAINES IL</t>
  </si>
  <si>
    <t>DUNKIN #349715 DES PLAINES IL</t>
  </si>
  <si>
    <t>BINNYS BEVERAGE DEPOT 002 WHEELING IL</t>
  </si>
  <si>
    <t>TARGET 00013854 WHEELING IL</t>
  </si>
  <si>
    <t>LOWES #02728* NORTHBROOK IL</t>
  </si>
  <si>
    <t>WILD PITA MEDITERRANEA 847-904-7773 IL</t>
  </si>
  <si>
    <t>TARGET 00010249 LOMBARD IL</t>
  </si>
  <si>
    <t>CHICK-FIL-A #02983 LOMBARD IL</t>
  </si>
  <si>
    <t>DAIRY QUEEN #13050 DES PLAINES IL</t>
  </si>
  <si>
    <t>U HAUL STORE 0085752 847-2981170 IL</t>
  </si>
  <si>
    <t>EXXONMOBIL 97472880 DES PLAINES IL</t>
  </si>
  <si>
    <t>VCN*COOKCODOR 866-255-1857 IL</t>
  </si>
  <si>
    <t>PANDA EXPRESS 1681 SKOKIE IL</t>
  </si>
  <si>
    <t>SQ *HIMALAYAN RESTAURANT Morton Grove IL</t>
  </si>
  <si>
    <t>MALABAR FOODS 2266163048 IL</t>
  </si>
  <si>
    <t>JEWEL OSCO 3429 NILES IL</t>
  </si>
  <si>
    <t>DD/BR #336529 Q35 NILES IL</t>
  </si>
  <si>
    <t>FALAFILL EAST MEDITERR 847-8824444 IL</t>
  </si>
  <si>
    <t>BURLINGTON STORES 1028 HOFFMAN ESTAT IL</t>
  </si>
  <si>
    <t>DUNKIN #307301 Q35 GLENVIEW IL</t>
  </si>
  <si>
    <t>DD/BR #352059 Q35 NAPERVILLE IL</t>
  </si>
  <si>
    <t>NOODLES &amp; CO 628 SCHAUMBURG IL</t>
  </si>
  <si>
    <t>IKEA CHICAGO SCHAUMBURG IL</t>
  </si>
  <si>
    <t>CARTERS #845 SCHAUMBURG IL</t>
  </si>
  <si>
    <t>TARGET 00019125 MUNDELEIN IL</t>
  </si>
  <si>
    <t>SQ *BEN &amp; JERRY'S THE GLE Glenview IL</t>
  </si>
  <si>
    <t>SQ *GANDHI APPLIANCES Niles IL</t>
  </si>
  <si>
    <t>P &amp; P ASIAN FOODS NILES IL</t>
  </si>
  <si>
    <t>ADVOCATE PATIENT PAYMENT DOWNERS GROVE IL</t>
  </si>
  <si>
    <t>BZOO-ADMISSION/PARKING 708-688-8809 IL</t>
  </si>
  <si>
    <t>SSA BROOKFIELD ZOO BROOKFIELD IL</t>
  </si>
  <si>
    <t>CHICK-FIL-A #02730 SCHAUMBURG IL</t>
  </si>
  <si>
    <t>PATEL BROTHERS OF SCHAUMB SCHAUMBURG IL</t>
  </si>
  <si>
    <t>DUNKIN #353238 Q35 SCHAUMBURG IL</t>
  </si>
  <si>
    <t>WALGREENS #6228 GLENVIEW IL</t>
  </si>
  <si>
    <t>CHARLOTTE RUSSE #6126 SCHAUMBURG IL</t>
  </si>
  <si>
    <t>SEARS 1570 SCHAUMBURG IL</t>
  </si>
  <si>
    <t>CPS 2093 SCHAUMBURG IL</t>
  </si>
  <si>
    <t>FRANKS BARBER SHOP DES PLAINES IL</t>
  </si>
  <si>
    <t>COSTCO *ANNUAL RENEWAL 800-774-2678 WA</t>
  </si>
  <si>
    <t>KOHL'S #0060 ARLINGTON HEI IL</t>
  </si>
  <si>
    <t>KOHL'S #0290 GLENVIEW IL</t>
  </si>
  <si>
    <t>AmazonStores MORTON GROVE WA</t>
  </si>
  <si>
    <t>ROSS STORE #2308 MORTON GROVE IL</t>
  </si>
  <si>
    <t>FRESH FARMS INTERNATIONAL NILES IL</t>
  </si>
  <si>
    <t>OLD NAVY US 3120 MOUNT PROSPEC IL</t>
  </si>
  <si>
    <t>ROSS STORES #1637 SCHAUMBURG IL</t>
  </si>
  <si>
    <t>CHICK-FIL-A #03867 NILES IL</t>
  </si>
  <si>
    <t>WWW COSTCO COM 800-955-2292 WA</t>
  </si>
  <si>
    <t>SP * PMI PHOTO HTTPSPMIPHOTO IL</t>
  </si>
  <si>
    <t>BALSAM HILL US 888-552-2572 CA</t>
  </si>
  <si>
    <t>IKEA.COM 400604205 888-434-4532 MD</t>
  </si>
  <si>
    <t>Total purchases</t>
  </si>
  <si>
    <t>Total payments / credits</t>
  </si>
  <si>
    <t>Sources: 'Chase - CC - Freedom Unlimited - 2020.pdf' and a second PDF of statements for Dec 2020 - Dec 2021 (scanned statements, account ending 0441).</t>
  </si>
  <si>
    <t>Payments and merchant refunds/credits are negative amounts; purchases are positive, as they appear on the statements.</t>
  </si>
  <si>
    <t>Year is taken from each statement's closing date (e.g. Nov/Dec transactions on the 12/15/19 statement are 2019).</t>
  </si>
  <si>
    <t>Purchase totals were checked against each statement's Account Summary 'Purchases' figure and match, except where noted below.</t>
  </si>
  <si>
    <t>Gaps: no statement for 04/16/20-05/15/20 or 08/17/20-09/15/20.</t>
  </si>
  <si>
    <t>05/16/20-06/15/20 statement shows $8.79 of purchases, but its activity page is not in the PDF, so that transaction is not listed.</t>
  </si>
  <si>
    <t>10/16/21-11/15/21 statement: summary shows $3,027.80 of purchases; the activity page provided lists $2,847.14. The remaining $180.66 is on page 3 of that statement, which is not in the PDF.</t>
  </si>
  <si>
    <t>11/16/21-12/15/21 statement: no summary page in the PDF, so its purchase total could not be cross-checked (payments/credits reconcile to the prior balance).</t>
  </si>
  <si>
    <t>Category of Spend: assigned from the merchant name. Payments are labelled "Payment / Credit"; merchant refunds take the merchant's category so they net against that spend.</t>
  </si>
  <si>
    <t>Transactions that fit none of the 8 categories (car dealer/service, gym, tax prep, donation, zoo/Top Golf/tickets, medical, barber, laundry, government fees, Costco membership) are labelled "Other".</t>
  </si>
  <si>
    <t>Spend / Income: formula-driven from $ Amount — positive amounts are Spend; negative amounts (card payments and merchant refunds) are Income.</t>
  </si>
  <si>
    <t>Income</t>
  </si>
  <si>
    <t>NA</t>
  </si>
  <si>
    <t>Payment</t>
  </si>
  <si>
    <t>Spend / Income / Payments</t>
  </si>
  <si>
    <t>Vehicle</t>
  </si>
  <si>
    <t>Services</t>
  </si>
  <si>
    <t>Entertainment</t>
  </si>
  <si>
    <t>Medical</t>
  </si>
  <si>
    <t>Personal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</si>
</sst>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mm/dd/yyyy"/>
    <numFmt numFmtId="165" formatCode="#,##0.00;[Red]\(#,##0.00\)"/>
  </numFmts>
  <fonts count="4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/>
    <xf numFmtId="0" fontId="3" fillId="0" borderId="0" xfId="0" applyFont="1"/>
    <xf numFmtId="165" fontId="3" fillId="0" borderId="1" xfId="0" applyNumberFormat="1" applyFont="1" applyBorder="1"/>
    <xf numFmtId="14" fontId="0" fillId="0" borderId="0" xfId="0" applyNumberFormat="1"/>
    <xf numFmtId="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557"/>
  <sheetViews>
    <sheetView tabSelected="1" zoomScaleNormal="100" workbookViewId="0">
      <pane ySplit="1" topLeftCell="A42" activePane="bottomLeft" state="frozen"/>
      <selection pane="bottomLeft" activeCell="F96" sqref="F96"/>
    </sheetView>
  </sheetViews>
  <sheetFormatPr defaultColWidth="8.6640625" defaultRowHeight="14.4" x14ac:dyDescent="0.3"/>
  <cols>
    <col min="1" max="2" width="12" customWidth="1"/>
    <col min="3" max="3" width="8" customWidth="1"/>
    <col min="4" max="4" width="50" customWidth="1"/>
    <col min="5" max="5" width="13" customWidth="1"/>
    <col min="6" max="6" width="26" customWidth="1"/>
    <col min="7" max="7" width="29.44140625" bestFit="1" customWidth="1"/>
  </cols>
  <sheetData>
    <row r="1" spans="1: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207</v>
      </c>
    </row>
    <row r="2" spans="1:7" ht="15" hidden="1" customHeight="1" x14ac:dyDescent="0.3">
      <c r="A2" s="2" t="s">
        <v>7</v>
      </c>
      <c r="B2" s="3">
        <v>43792</v>
      </c>
      <c r="C2" s="4">
        <v>2019</v>
      </c>
      <c r="D2" s="2" t="s">
        <v>8</v>
      </c>
      <c r="E2" s="5">
        <v>5.82</v>
      </c>
      <c r="F2" s="2" t="s">
        <v>9</v>
      </c>
      <c r="G2" s="4" t="str">
        <f>IF(F2="Payment / Credit","Payment",IF(E2&lt;0,"Income","Spend"))</f>
        <v>Spend</v>
      </c>
    </row>
    <row r="3" spans="1:7" ht="15" hidden="1" customHeight="1" x14ac:dyDescent="0.3">
      <c r="A3" s="2" t="s">
        <v>7</v>
      </c>
      <c r="B3" s="3">
        <v>43792</v>
      </c>
      <c r="C3" s="4">
        <v>2019</v>
      </c>
      <c r="D3" s="2" t="s">
        <v>10</v>
      </c>
      <c r="E3" s="5">
        <v>2.16</v>
      </c>
      <c r="F3" s="2" t="s">
        <v>11</v>
      </c>
      <c r="G3" s="4" t="str">
        <f>IF(F3="Payment / Credit","Payment",IF(E3&lt;0,"Income","Spend"))</f>
        <v>Spend</v>
      </c>
    </row>
    <row r="4" spans="1:7" ht="15" hidden="1" customHeight="1" x14ac:dyDescent="0.3">
      <c r="A4" s="2" t="s">
        <v>7</v>
      </c>
      <c r="B4" s="3">
        <v>43792</v>
      </c>
      <c r="C4" s="4">
        <v>2019</v>
      </c>
      <c r="D4" s="2" t="s">
        <v>10</v>
      </c>
      <c r="E4" s="5">
        <v>8.9</v>
      </c>
      <c r="F4" s="2" t="s">
        <v>11</v>
      </c>
      <c r="G4" s="4" t="str">
        <f>IF(F4="Payment / Credit","Payment",IF(E4&lt;0,"Income","Spend"))</f>
        <v>Spend</v>
      </c>
    </row>
    <row r="5" spans="1:7" ht="15" hidden="1" customHeight="1" x14ac:dyDescent="0.3">
      <c r="A5" s="2" t="s">
        <v>7</v>
      </c>
      <c r="B5" s="3">
        <v>43793</v>
      </c>
      <c r="C5" s="4">
        <v>2019</v>
      </c>
      <c r="D5" s="2" t="s">
        <v>12</v>
      </c>
      <c r="E5" s="5">
        <v>63.74</v>
      </c>
      <c r="F5" s="2" t="s">
        <v>13</v>
      </c>
      <c r="G5" s="4" t="str">
        <f>IF(F5="Payment / Credit","Payment",IF(E5&lt;0,"Income","Spend"))</f>
        <v>Spend</v>
      </c>
    </row>
    <row r="6" spans="1:7" ht="15" hidden="1" customHeight="1" x14ac:dyDescent="0.3">
      <c r="A6" s="2" t="s">
        <v>7</v>
      </c>
      <c r="B6" s="3">
        <v>43793</v>
      </c>
      <c r="C6" s="4">
        <v>2019</v>
      </c>
      <c r="D6" s="2" t="s">
        <v>14</v>
      </c>
      <c r="E6" s="5">
        <v>8.49</v>
      </c>
      <c r="F6" s="2" t="s">
        <v>13</v>
      </c>
      <c r="G6" s="4" t="str">
        <f>IF(F6="Payment / Credit","Payment",IF(E6&lt;0,"Income","Spend"))</f>
        <v>Spend</v>
      </c>
    </row>
    <row r="7" spans="1:7" ht="15" hidden="1" customHeight="1" x14ac:dyDescent="0.3">
      <c r="A7" s="2" t="s">
        <v>7</v>
      </c>
      <c r="B7" s="3">
        <v>43794</v>
      </c>
      <c r="C7" s="4">
        <v>2019</v>
      </c>
      <c r="D7" s="2" t="s">
        <v>15</v>
      </c>
      <c r="E7" s="5">
        <v>9.99</v>
      </c>
      <c r="F7" s="2" t="s">
        <v>13</v>
      </c>
      <c r="G7" s="4" t="str">
        <f>IF(F7="Payment / Credit","Payment",IF(E7&lt;0,"Income","Spend"))</f>
        <v>Spend</v>
      </c>
    </row>
    <row r="8" spans="1:7" ht="15" hidden="1" customHeight="1" x14ac:dyDescent="0.3">
      <c r="A8" s="2" t="s">
        <v>7</v>
      </c>
      <c r="B8" s="3">
        <v>43794</v>
      </c>
      <c r="C8" s="4">
        <v>2019</v>
      </c>
      <c r="D8" s="2" t="s">
        <v>8</v>
      </c>
      <c r="E8" s="5">
        <v>4.6900000000000004</v>
      </c>
      <c r="F8" s="2" t="s">
        <v>9</v>
      </c>
      <c r="G8" s="4" t="str">
        <f>IF(F8="Payment / Credit","Payment",IF(E8&lt;0,"Income","Spend"))</f>
        <v>Spend</v>
      </c>
    </row>
    <row r="9" spans="1:7" ht="15" hidden="1" customHeight="1" x14ac:dyDescent="0.3">
      <c r="A9" s="2" t="s">
        <v>7</v>
      </c>
      <c r="B9" s="3">
        <v>43794</v>
      </c>
      <c r="C9" s="4">
        <v>2019</v>
      </c>
      <c r="D9" s="2" t="s">
        <v>16</v>
      </c>
      <c r="E9" s="5">
        <v>0.42</v>
      </c>
      <c r="F9" s="2" t="s">
        <v>17</v>
      </c>
      <c r="G9" s="4" t="str">
        <f>IF(F9="Payment / Credit","Payment",IF(E9&lt;0,"Income","Spend"))</f>
        <v>Spend</v>
      </c>
    </row>
    <row r="10" spans="1:7" ht="15" hidden="1" customHeight="1" x14ac:dyDescent="0.3">
      <c r="A10" s="2" t="s">
        <v>7</v>
      </c>
      <c r="B10" s="3">
        <v>43794</v>
      </c>
      <c r="C10" s="4">
        <v>2019</v>
      </c>
      <c r="D10" s="2" t="s">
        <v>16</v>
      </c>
      <c r="E10" s="5">
        <v>2.87</v>
      </c>
      <c r="F10" s="2" t="s">
        <v>17</v>
      </c>
      <c r="G10" s="4" t="str">
        <f>IF(F10="Payment / Credit","Payment",IF(E10&lt;0,"Income","Spend"))</f>
        <v>Spend</v>
      </c>
    </row>
    <row r="11" spans="1:7" ht="15" hidden="1" customHeight="1" x14ac:dyDescent="0.3">
      <c r="A11" s="2" t="s">
        <v>7</v>
      </c>
      <c r="B11" s="3">
        <v>43796</v>
      </c>
      <c r="C11" s="4">
        <v>2019</v>
      </c>
      <c r="D11" s="2" t="s">
        <v>18</v>
      </c>
      <c r="E11" s="5">
        <v>25.34</v>
      </c>
      <c r="F11" s="2" t="s">
        <v>11</v>
      </c>
      <c r="G11" s="4" t="str">
        <f>IF(F11="Payment / Credit","Payment",IF(E11&lt;0,"Income","Spend"))</f>
        <v>Spend</v>
      </c>
    </row>
    <row r="12" spans="1:7" ht="15" hidden="1" customHeight="1" x14ac:dyDescent="0.3">
      <c r="A12" s="2" t="s">
        <v>7</v>
      </c>
      <c r="B12" s="3">
        <v>43796</v>
      </c>
      <c r="C12" s="4">
        <v>2019</v>
      </c>
      <c r="D12" s="2" t="s">
        <v>16</v>
      </c>
      <c r="E12" s="5">
        <v>1.29</v>
      </c>
      <c r="F12" s="2" t="s">
        <v>17</v>
      </c>
      <c r="G12" s="4" t="str">
        <f>IF(F12="Payment / Credit","Payment",IF(E12&lt;0,"Income","Spend"))</f>
        <v>Spend</v>
      </c>
    </row>
    <row r="13" spans="1:7" ht="15" hidden="1" customHeight="1" x14ac:dyDescent="0.3">
      <c r="A13" s="2" t="s">
        <v>7</v>
      </c>
      <c r="B13" s="3">
        <v>43796</v>
      </c>
      <c r="C13" s="4">
        <v>2019</v>
      </c>
      <c r="D13" s="2" t="s">
        <v>19</v>
      </c>
      <c r="E13" s="5">
        <v>8.33</v>
      </c>
      <c r="F13" s="2" t="s">
        <v>17</v>
      </c>
      <c r="G13" s="4" t="str">
        <f>IF(F13="Payment / Credit","Payment",IF(E13&lt;0,"Income","Spend"))</f>
        <v>Spend</v>
      </c>
    </row>
    <row r="14" spans="1:7" ht="15" hidden="1" customHeight="1" x14ac:dyDescent="0.3">
      <c r="A14" s="2" t="s">
        <v>7</v>
      </c>
      <c r="B14" s="3">
        <v>43796</v>
      </c>
      <c r="C14" s="4">
        <v>2019</v>
      </c>
      <c r="D14" s="2" t="s">
        <v>20</v>
      </c>
      <c r="E14" s="5">
        <v>0.7</v>
      </c>
      <c r="F14" s="2" t="s">
        <v>17</v>
      </c>
      <c r="G14" s="4" t="str">
        <f>IF(F14="Payment / Credit","Payment",IF(E14&lt;0,"Income","Spend"))</f>
        <v>Spend</v>
      </c>
    </row>
    <row r="15" spans="1:7" ht="15" hidden="1" customHeight="1" x14ac:dyDescent="0.3">
      <c r="A15" s="2" t="s">
        <v>7</v>
      </c>
      <c r="B15" s="3">
        <v>43797</v>
      </c>
      <c r="C15" s="4">
        <v>2019</v>
      </c>
      <c r="D15" s="2" t="s">
        <v>8</v>
      </c>
      <c r="E15" s="5">
        <v>49.61</v>
      </c>
      <c r="F15" s="2" t="s">
        <v>9</v>
      </c>
      <c r="G15" s="4" t="str">
        <f>IF(F15="Payment / Credit","Payment",IF(E15&lt;0,"Income","Spend"))</f>
        <v>Spend</v>
      </c>
    </row>
    <row r="16" spans="1:7" ht="15" hidden="1" customHeight="1" x14ac:dyDescent="0.3">
      <c r="A16" s="2" t="s">
        <v>7</v>
      </c>
      <c r="B16" s="3">
        <v>43797</v>
      </c>
      <c r="C16" s="4">
        <v>2019</v>
      </c>
      <c r="D16" s="2" t="s">
        <v>21</v>
      </c>
      <c r="E16" s="5">
        <v>27.54</v>
      </c>
      <c r="F16" s="2" t="s">
        <v>13</v>
      </c>
      <c r="G16" s="4" t="str">
        <f>IF(F16="Payment / Credit","Payment",IF(E16&lt;0,"Income","Spend"))</f>
        <v>Spend</v>
      </c>
    </row>
    <row r="17" spans="1:7" ht="15" hidden="1" customHeight="1" x14ac:dyDescent="0.3">
      <c r="A17" s="2" t="s">
        <v>7</v>
      </c>
      <c r="B17" s="3">
        <v>43798</v>
      </c>
      <c r="C17" s="4">
        <v>2019</v>
      </c>
      <c r="D17" s="2" t="s">
        <v>22</v>
      </c>
      <c r="E17" s="5">
        <v>18.98</v>
      </c>
      <c r="F17" s="2" t="s">
        <v>13</v>
      </c>
      <c r="G17" s="4" t="str">
        <f>IF(F17="Payment / Credit","Payment",IF(E17&lt;0,"Income","Spend"))</f>
        <v>Spend</v>
      </c>
    </row>
    <row r="18" spans="1:7" ht="15" hidden="1" customHeight="1" x14ac:dyDescent="0.3">
      <c r="A18" s="2" t="s">
        <v>7</v>
      </c>
      <c r="B18" s="3">
        <v>43798</v>
      </c>
      <c r="C18" s="4">
        <v>2019</v>
      </c>
      <c r="D18" s="2" t="s">
        <v>23</v>
      </c>
      <c r="E18" s="5">
        <v>3.99</v>
      </c>
      <c r="F18" s="2" t="s">
        <v>13</v>
      </c>
      <c r="G18" s="4" t="str">
        <f>IF(F18="Payment / Credit","Payment",IF(E18&lt;0,"Income","Spend"))</f>
        <v>Spend</v>
      </c>
    </row>
    <row r="19" spans="1:7" ht="15" hidden="1" customHeight="1" x14ac:dyDescent="0.3">
      <c r="A19" s="2" t="s">
        <v>7</v>
      </c>
      <c r="B19" s="3">
        <v>43798</v>
      </c>
      <c r="C19" s="4">
        <v>2019</v>
      </c>
      <c r="D19" s="2" t="s">
        <v>24</v>
      </c>
      <c r="E19" s="5">
        <v>7.5</v>
      </c>
      <c r="F19" s="2" t="s">
        <v>13</v>
      </c>
      <c r="G19" s="4" t="str">
        <f>IF(F19="Payment / Credit","Payment",IF(E19&lt;0,"Income","Spend"))</f>
        <v>Spend</v>
      </c>
    </row>
    <row r="20" spans="1:7" ht="15" hidden="1" customHeight="1" x14ac:dyDescent="0.3">
      <c r="A20" s="2" t="s">
        <v>7</v>
      </c>
      <c r="B20" s="3">
        <v>43798</v>
      </c>
      <c r="C20" s="4">
        <v>2019</v>
      </c>
      <c r="D20" s="2" t="s">
        <v>25</v>
      </c>
      <c r="E20" s="5">
        <v>850.97</v>
      </c>
      <c r="F20" s="2" t="s">
        <v>13</v>
      </c>
      <c r="G20" s="4" t="str">
        <f>IF(F20="Payment / Credit","Payment",IF(E20&lt;0,"Income","Spend"))</f>
        <v>Spend</v>
      </c>
    </row>
    <row r="21" spans="1:7" ht="15" hidden="1" customHeight="1" x14ac:dyDescent="0.3">
      <c r="A21" s="2" t="s">
        <v>7</v>
      </c>
      <c r="B21" s="3">
        <v>43798</v>
      </c>
      <c r="C21" s="4">
        <v>2019</v>
      </c>
      <c r="D21" s="2" t="s">
        <v>26</v>
      </c>
      <c r="E21" s="5">
        <v>6.9</v>
      </c>
      <c r="F21" s="2" t="s">
        <v>13</v>
      </c>
      <c r="G21" s="4" t="str">
        <f>IF(F21="Payment / Credit","Payment",IF(E21&lt;0,"Income","Spend"))</f>
        <v>Spend</v>
      </c>
    </row>
    <row r="22" spans="1:7" ht="15" hidden="1" customHeight="1" x14ac:dyDescent="0.3">
      <c r="A22" s="2" t="s">
        <v>7</v>
      </c>
      <c r="B22" s="3">
        <v>43799</v>
      </c>
      <c r="C22" s="4">
        <v>2019</v>
      </c>
      <c r="D22" s="2" t="s">
        <v>27</v>
      </c>
      <c r="E22" s="5">
        <v>91.41</v>
      </c>
      <c r="F22" s="2" t="s">
        <v>9</v>
      </c>
      <c r="G22" s="4" t="str">
        <f>IF(F22="Payment / Credit","Payment",IF(E22&lt;0,"Income","Spend"))</f>
        <v>Spend</v>
      </c>
    </row>
    <row r="23" spans="1:7" ht="15" hidden="1" customHeight="1" x14ac:dyDescent="0.3">
      <c r="A23" s="2" t="s">
        <v>7</v>
      </c>
      <c r="B23" s="3">
        <v>43799</v>
      </c>
      <c r="C23" s="4">
        <v>2019</v>
      </c>
      <c r="D23" s="2" t="s">
        <v>28</v>
      </c>
      <c r="E23" s="5">
        <v>21.98</v>
      </c>
      <c r="F23" s="2" t="s">
        <v>13</v>
      </c>
      <c r="G23" s="4" t="str">
        <f>IF(F23="Payment / Credit","Payment",IF(E23&lt;0,"Income","Spend"))</f>
        <v>Spend</v>
      </c>
    </row>
    <row r="24" spans="1:7" ht="15" hidden="1" customHeight="1" x14ac:dyDescent="0.3">
      <c r="A24" s="2" t="s">
        <v>7</v>
      </c>
      <c r="B24" s="3">
        <v>43800</v>
      </c>
      <c r="C24" s="4">
        <v>2019</v>
      </c>
      <c r="D24" s="2" t="s">
        <v>27</v>
      </c>
      <c r="E24" s="5">
        <v>142.99</v>
      </c>
      <c r="F24" s="2" t="s">
        <v>9</v>
      </c>
      <c r="G24" s="4" t="str">
        <f>IF(F24="Payment / Credit","Payment",IF(E24&lt;0,"Income","Spend"))</f>
        <v>Spend</v>
      </c>
    </row>
    <row r="25" spans="1:7" ht="15" hidden="1" customHeight="1" x14ac:dyDescent="0.3">
      <c r="A25" s="2" t="s">
        <v>7</v>
      </c>
      <c r="B25" s="3">
        <v>43803</v>
      </c>
      <c r="C25" s="4">
        <v>2019</v>
      </c>
      <c r="D25" s="2" t="s">
        <v>29</v>
      </c>
      <c r="E25" s="5">
        <v>23.78</v>
      </c>
      <c r="F25" s="2" t="s">
        <v>13</v>
      </c>
      <c r="G25" s="4" t="str">
        <f>IF(F25="Payment / Credit","Payment",IF(E25&lt;0,"Income","Spend"))</f>
        <v>Spend</v>
      </c>
    </row>
    <row r="26" spans="1:7" ht="15" hidden="1" customHeight="1" x14ac:dyDescent="0.3">
      <c r="A26" s="2" t="s">
        <v>7</v>
      </c>
      <c r="B26" s="3">
        <v>43806</v>
      </c>
      <c r="C26" s="4">
        <v>2019</v>
      </c>
      <c r="D26" s="2" t="s">
        <v>30</v>
      </c>
      <c r="E26" s="5">
        <v>5.24</v>
      </c>
      <c r="F26" s="2" t="s">
        <v>13</v>
      </c>
      <c r="G26" s="4" t="str">
        <f>IF(F26="Payment / Credit","Payment",IF(E26&lt;0,"Income","Spend"))</f>
        <v>Spend</v>
      </c>
    </row>
    <row r="27" spans="1:7" ht="15" hidden="1" customHeight="1" x14ac:dyDescent="0.3">
      <c r="A27" s="2" t="s">
        <v>7</v>
      </c>
      <c r="B27" s="3">
        <v>43808</v>
      </c>
      <c r="C27" s="4">
        <v>2019</v>
      </c>
      <c r="D27" s="2" t="s">
        <v>31</v>
      </c>
      <c r="E27" s="5">
        <v>10.95</v>
      </c>
      <c r="F27" s="2" t="s">
        <v>13</v>
      </c>
      <c r="G27" s="4" t="str">
        <f>IF(F27="Payment / Credit","Payment",IF(E27&lt;0,"Income","Spend"))</f>
        <v>Spend</v>
      </c>
    </row>
    <row r="28" spans="1:7" ht="15" hidden="1" customHeight="1" x14ac:dyDescent="0.3">
      <c r="A28" s="2" t="s">
        <v>7</v>
      </c>
      <c r="B28" s="3">
        <v>43808</v>
      </c>
      <c r="C28" s="4">
        <v>2019</v>
      </c>
      <c r="D28" s="2" t="s">
        <v>32</v>
      </c>
      <c r="E28" s="5">
        <v>91.27</v>
      </c>
      <c r="F28" s="2" t="s">
        <v>13</v>
      </c>
      <c r="G28" s="4" t="str">
        <f>IF(F28="Payment / Credit","Payment",IF(E28&lt;0,"Income","Spend"))</f>
        <v>Spend</v>
      </c>
    </row>
    <row r="29" spans="1:7" ht="15" hidden="1" customHeight="1" x14ac:dyDescent="0.3">
      <c r="A29" s="2" t="s">
        <v>7</v>
      </c>
      <c r="B29" s="3">
        <v>43809</v>
      </c>
      <c r="C29" s="4">
        <v>2019</v>
      </c>
      <c r="D29" s="2" t="s">
        <v>33</v>
      </c>
      <c r="E29" s="5">
        <v>131.4</v>
      </c>
      <c r="F29" s="2" t="s">
        <v>34</v>
      </c>
      <c r="G29" s="4" t="str">
        <f>IF(F29="Payment / Credit","Payment",IF(E29&lt;0,"Income","Spend"))</f>
        <v>Spend</v>
      </c>
    </row>
    <row r="30" spans="1:7" ht="15" hidden="1" customHeight="1" x14ac:dyDescent="0.3">
      <c r="A30" s="2" t="s">
        <v>7</v>
      </c>
      <c r="B30" s="3">
        <v>43809</v>
      </c>
      <c r="C30" s="4">
        <v>2019</v>
      </c>
      <c r="D30" s="2" t="s">
        <v>35</v>
      </c>
      <c r="E30" s="5">
        <v>22.2</v>
      </c>
      <c r="F30" s="2" t="s">
        <v>9</v>
      </c>
      <c r="G30" s="4" t="str">
        <f>IF(F30="Payment / Credit","Payment",IF(E30&lt;0,"Income","Spend"))</f>
        <v>Spend</v>
      </c>
    </row>
    <row r="31" spans="1:7" ht="15" hidden="1" customHeight="1" x14ac:dyDescent="0.3">
      <c r="A31" s="2" t="s">
        <v>7</v>
      </c>
      <c r="B31" s="3">
        <v>43811</v>
      </c>
      <c r="C31" s="4">
        <v>2019</v>
      </c>
      <c r="D31" s="2" t="s">
        <v>36</v>
      </c>
      <c r="E31" s="5">
        <v>8.44</v>
      </c>
      <c r="F31" s="2" t="s">
        <v>11</v>
      </c>
      <c r="G31" s="4" t="str">
        <f>IF(F31="Payment / Credit","Payment",IF(E31&lt;0,"Income","Spend"))</f>
        <v>Spend</v>
      </c>
    </row>
    <row r="32" spans="1:7" ht="15" hidden="1" customHeight="1" x14ac:dyDescent="0.3">
      <c r="A32" s="2" t="s">
        <v>7</v>
      </c>
      <c r="B32" s="3">
        <v>43811</v>
      </c>
      <c r="C32" s="4">
        <v>2019</v>
      </c>
      <c r="D32" s="2" t="s">
        <v>37</v>
      </c>
      <c r="E32" s="5">
        <v>150</v>
      </c>
      <c r="F32" s="2" t="s">
        <v>17</v>
      </c>
      <c r="G32" s="4" t="str">
        <f>IF(F32="Payment / Credit","Payment",IF(E32&lt;0,"Income","Spend"))</f>
        <v>Spend</v>
      </c>
    </row>
    <row r="33" spans="1:7" ht="15" hidden="1" customHeight="1" x14ac:dyDescent="0.3">
      <c r="A33" s="2" t="s">
        <v>7</v>
      </c>
      <c r="B33" s="3">
        <v>43811</v>
      </c>
      <c r="C33" s="4">
        <v>2019</v>
      </c>
      <c r="D33" s="2" t="s">
        <v>38</v>
      </c>
      <c r="E33" s="5">
        <v>7.85</v>
      </c>
      <c r="F33" s="2" t="s">
        <v>11</v>
      </c>
      <c r="G33" s="4" t="str">
        <f>IF(F33="Payment / Credit","Payment",IF(E33&lt;0,"Income","Spend"))</f>
        <v>Spend</v>
      </c>
    </row>
    <row r="34" spans="1:7" ht="15" hidden="1" customHeight="1" x14ac:dyDescent="0.3">
      <c r="A34" s="2" t="s">
        <v>7</v>
      </c>
      <c r="B34" s="3">
        <v>43812</v>
      </c>
      <c r="C34" s="4">
        <v>2019</v>
      </c>
      <c r="D34" s="2" t="s">
        <v>16</v>
      </c>
      <c r="E34" s="5">
        <v>3.3</v>
      </c>
      <c r="F34" s="2" t="s">
        <v>17</v>
      </c>
      <c r="G34" s="4" t="str">
        <f>IF(F34="Payment / Credit","Payment",IF(E34&lt;0,"Income","Spend"))</f>
        <v>Spend</v>
      </c>
    </row>
    <row r="35" spans="1:7" ht="15" hidden="1" customHeight="1" x14ac:dyDescent="0.3">
      <c r="A35" s="2" t="s">
        <v>7</v>
      </c>
      <c r="B35" s="3">
        <v>43813</v>
      </c>
      <c r="C35" s="4">
        <v>2019</v>
      </c>
      <c r="D35" s="2" t="s">
        <v>39</v>
      </c>
      <c r="E35" s="5">
        <v>33.83</v>
      </c>
      <c r="F35" s="2" t="s">
        <v>11</v>
      </c>
      <c r="G35" s="4" t="str">
        <f>IF(F35="Payment / Credit","Payment",IF(E35&lt;0,"Income","Spend"))</f>
        <v>Spend</v>
      </c>
    </row>
    <row r="36" spans="1:7" ht="15" customHeight="1" x14ac:dyDescent="0.3">
      <c r="A36" s="2" t="s">
        <v>7</v>
      </c>
      <c r="B36" s="3">
        <v>43813</v>
      </c>
      <c r="C36" s="4">
        <v>2019</v>
      </c>
      <c r="D36" s="2" t="s">
        <v>40</v>
      </c>
      <c r="E36" s="5">
        <v>9.8699999999999992</v>
      </c>
      <c r="F36" s="2" t="s">
        <v>41</v>
      </c>
      <c r="G36" s="4" t="str">
        <f>IF(F36="Payment / Credit","Payment",IF(E36&lt;0,"Income","Spend"))</f>
        <v>Spend</v>
      </c>
    </row>
    <row r="37" spans="1:7" ht="15" hidden="1" customHeight="1" x14ac:dyDescent="0.3">
      <c r="A37" s="2" t="s">
        <v>7</v>
      </c>
      <c r="B37" s="3">
        <v>43816</v>
      </c>
      <c r="C37" s="4">
        <v>2019</v>
      </c>
      <c r="D37" s="2" t="s">
        <v>42</v>
      </c>
      <c r="E37" s="5">
        <v>35.549999999999997</v>
      </c>
      <c r="F37" s="2" t="s">
        <v>43</v>
      </c>
      <c r="G37" s="4" t="str">
        <f>IF(F37="Payment / Credit","Payment",IF(E37&lt;0,"Income","Spend"))</f>
        <v>Spend</v>
      </c>
    </row>
    <row r="38" spans="1:7" ht="15" hidden="1" customHeight="1" x14ac:dyDescent="0.3">
      <c r="A38" s="2" t="s">
        <v>7</v>
      </c>
      <c r="B38" s="3">
        <v>43819</v>
      </c>
      <c r="C38" s="4">
        <v>2019</v>
      </c>
      <c r="D38" s="2" t="s">
        <v>44</v>
      </c>
      <c r="E38" s="5">
        <v>8.57</v>
      </c>
      <c r="F38" s="2" t="s">
        <v>17</v>
      </c>
      <c r="G38" s="4" t="str">
        <f>IF(F38="Payment / Credit","Payment",IF(E38&lt;0,"Income","Spend"))</f>
        <v>Spend</v>
      </c>
    </row>
    <row r="39" spans="1:7" ht="15" hidden="1" customHeight="1" x14ac:dyDescent="0.3">
      <c r="A39" s="2" t="s">
        <v>7</v>
      </c>
      <c r="B39" s="3">
        <v>43836</v>
      </c>
      <c r="C39" s="4">
        <v>2020</v>
      </c>
      <c r="D39" s="2" t="s">
        <v>16</v>
      </c>
      <c r="E39" s="5">
        <v>2.14</v>
      </c>
      <c r="F39" s="2" t="s">
        <v>17</v>
      </c>
      <c r="G39" s="4" t="str">
        <f>IF(F39="Payment / Credit","Payment",IF(E39&lt;0,"Income","Spend"))</f>
        <v>Spend</v>
      </c>
    </row>
    <row r="40" spans="1:7" ht="15" hidden="1" customHeight="1" x14ac:dyDescent="0.3">
      <c r="A40" s="2" t="s">
        <v>7</v>
      </c>
      <c r="B40" s="3">
        <v>43837</v>
      </c>
      <c r="C40" s="4">
        <v>2020</v>
      </c>
      <c r="D40" s="2" t="s">
        <v>45</v>
      </c>
      <c r="E40" s="5">
        <v>1.08</v>
      </c>
      <c r="F40" s="2" t="s">
        <v>17</v>
      </c>
      <c r="G40" s="4" t="str">
        <f>IF(F40="Payment / Credit","Payment",IF(E40&lt;0,"Income","Spend"))</f>
        <v>Spend</v>
      </c>
    </row>
    <row r="41" spans="1:7" ht="15" hidden="1" customHeight="1" x14ac:dyDescent="0.3">
      <c r="A41" s="2" t="s">
        <v>7</v>
      </c>
      <c r="B41" s="3">
        <v>43837</v>
      </c>
      <c r="C41" s="4">
        <v>2020</v>
      </c>
      <c r="D41" s="2" t="s">
        <v>16</v>
      </c>
      <c r="E41" s="5">
        <v>1.29</v>
      </c>
      <c r="F41" s="2" t="s">
        <v>17</v>
      </c>
      <c r="G41" s="4" t="str">
        <f>IF(F41="Payment / Credit","Payment",IF(E41&lt;0,"Income","Spend"))</f>
        <v>Spend</v>
      </c>
    </row>
    <row r="42" spans="1:7" ht="15" hidden="1" customHeight="1" x14ac:dyDescent="0.3">
      <c r="A42" s="2" t="s">
        <v>7</v>
      </c>
      <c r="B42" s="3">
        <v>43842</v>
      </c>
      <c r="C42" s="4">
        <v>2020</v>
      </c>
      <c r="D42" s="2" t="s">
        <v>46</v>
      </c>
      <c r="E42" s="5">
        <v>-1862.74</v>
      </c>
      <c r="F42" s="2" t="s">
        <v>47</v>
      </c>
      <c r="G42" s="4" t="str">
        <f>IF(F42="Payment / Credit","Payment",IF(E42&lt;0,"Income","Spend"))</f>
        <v>Payment</v>
      </c>
    </row>
    <row r="43" spans="1:7" ht="15" hidden="1" customHeight="1" x14ac:dyDescent="0.3">
      <c r="A43" s="2" t="s">
        <v>7</v>
      </c>
      <c r="B43" s="3">
        <v>43846</v>
      </c>
      <c r="C43" s="4">
        <v>2020</v>
      </c>
      <c r="D43" s="2" t="s">
        <v>44</v>
      </c>
      <c r="E43" s="5">
        <v>8.7899999999999991</v>
      </c>
      <c r="F43" s="2" t="s">
        <v>17</v>
      </c>
      <c r="G43" s="4" t="str">
        <f>IF(F43="Payment / Credit","Payment",IF(E43&lt;0,"Income","Spend"))</f>
        <v>Spend</v>
      </c>
    </row>
    <row r="44" spans="1:7" ht="15" hidden="1" customHeight="1" x14ac:dyDescent="0.3">
      <c r="A44" s="2" t="s">
        <v>7</v>
      </c>
      <c r="B44" s="3">
        <v>43846</v>
      </c>
      <c r="C44" s="4">
        <v>2020</v>
      </c>
      <c r="D44" s="2" t="s">
        <v>45</v>
      </c>
      <c r="E44" s="5">
        <v>2.16</v>
      </c>
      <c r="F44" s="2" t="s">
        <v>17</v>
      </c>
      <c r="G44" s="4" t="str">
        <f>IF(F44="Payment / Credit","Payment",IF(E44&lt;0,"Income","Spend"))</f>
        <v>Spend</v>
      </c>
    </row>
    <row r="45" spans="1:7" ht="15" hidden="1" customHeight="1" x14ac:dyDescent="0.3">
      <c r="A45" s="2" t="s">
        <v>7</v>
      </c>
      <c r="B45" s="3">
        <v>43846</v>
      </c>
      <c r="C45" s="4">
        <v>2020</v>
      </c>
      <c r="D45" s="2" t="s">
        <v>48</v>
      </c>
      <c r="E45" s="5">
        <v>11.29</v>
      </c>
      <c r="F45" s="2" t="s">
        <v>11</v>
      </c>
      <c r="G45" s="4" t="str">
        <f>IF(F45="Payment / Credit","Payment",IF(E45&lt;0,"Income","Spend"))</f>
        <v>Spend</v>
      </c>
    </row>
    <row r="46" spans="1:7" ht="15" hidden="1" customHeight="1" x14ac:dyDescent="0.3">
      <c r="A46" s="2" t="s">
        <v>7</v>
      </c>
      <c r="B46" s="3">
        <v>43846</v>
      </c>
      <c r="C46" s="4">
        <v>2020</v>
      </c>
      <c r="D46" s="2" t="s">
        <v>16</v>
      </c>
      <c r="E46" s="5">
        <v>2.31</v>
      </c>
      <c r="F46" s="2" t="s">
        <v>17</v>
      </c>
      <c r="G46" s="4" t="str">
        <f>IF(F46="Payment / Credit","Payment",IF(E46&lt;0,"Income","Spend"))</f>
        <v>Spend</v>
      </c>
    </row>
    <row r="47" spans="1:7" ht="15" hidden="1" customHeight="1" x14ac:dyDescent="0.3">
      <c r="A47" s="2" t="s">
        <v>7</v>
      </c>
      <c r="B47" s="3">
        <v>43851</v>
      </c>
      <c r="C47" s="4">
        <v>2020</v>
      </c>
      <c r="D47" s="2" t="s">
        <v>49</v>
      </c>
      <c r="E47" s="5">
        <v>14.62</v>
      </c>
      <c r="F47" s="2" t="s">
        <v>50</v>
      </c>
      <c r="G47" s="4" t="str">
        <f>IF(F47="Payment / Credit","Payment",IF(E47&lt;0,"Income","Spend"))</f>
        <v>Spend</v>
      </c>
    </row>
    <row r="48" spans="1:7" ht="15" hidden="1" customHeight="1" x14ac:dyDescent="0.3">
      <c r="A48" s="2" t="s">
        <v>7</v>
      </c>
      <c r="B48" s="3">
        <v>43851</v>
      </c>
      <c r="C48" s="4">
        <v>2020</v>
      </c>
      <c r="D48" s="2" t="s">
        <v>8</v>
      </c>
      <c r="E48" s="5">
        <v>5.38</v>
      </c>
      <c r="F48" s="2" t="s">
        <v>9</v>
      </c>
      <c r="G48" s="4" t="str">
        <f>IF(F48="Payment / Credit","Payment",IF(E48&lt;0,"Income","Spend"))</f>
        <v>Spend</v>
      </c>
    </row>
    <row r="49" spans="1:7" ht="15" hidden="1" customHeight="1" x14ac:dyDescent="0.3">
      <c r="A49" s="2" t="s">
        <v>7</v>
      </c>
      <c r="B49" s="3">
        <v>43851</v>
      </c>
      <c r="C49" s="4">
        <v>2020</v>
      </c>
      <c r="D49" s="2" t="s">
        <v>49</v>
      </c>
      <c r="E49" s="5">
        <v>5.49</v>
      </c>
      <c r="F49" s="2" t="s">
        <v>50</v>
      </c>
      <c r="G49" s="4" t="str">
        <f>IF(F49="Payment / Credit","Payment",IF(E49&lt;0,"Income","Spend"))</f>
        <v>Spend</v>
      </c>
    </row>
    <row r="50" spans="1:7" ht="15" hidden="1" customHeight="1" x14ac:dyDescent="0.3">
      <c r="A50" s="2" t="s">
        <v>7</v>
      </c>
      <c r="B50" s="3">
        <v>43851</v>
      </c>
      <c r="C50" s="4">
        <v>2020</v>
      </c>
      <c r="D50" s="2" t="s">
        <v>51</v>
      </c>
      <c r="E50" s="5">
        <v>3.1</v>
      </c>
      <c r="F50" s="2" t="s">
        <v>9</v>
      </c>
      <c r="G50" s="4" t="str">
        <f>IF(F50="Payment / Credit","Payment",IF(E50&lt;0,"Income","Spend"))</f>
        <v>Spend</v>
      </c>
    </row>
    <row r="51" spans="1:7" ht="15" hidden="1" customHeight="1" x14ac:dyDescent="0.3">
      <c r="A51" s="2" t="s">
        <v>7</v>
      </c>
      <c r="B51" s="3">
        <v>43851</v>
      </c>
      <c r="C51" s="4">
        <v>2020</v>
      </c>
      <c r="D51" s="2" t="s">
        <v>52</v>
      </c>
      <c r="E51" s="5">
        <v>12.11</v>
      </c>
      <c r="F51" s="2" t="s">
        <v>9</v>
      </c>
      <c r="G51" s="4" t="str">
        <f>IF(F51="Payment / Credit","Payment",IF(E51&lt;0,"Income","Spend"))</f>
        <v>Spend</v>
      </c>
    </row>
    <row r="52" spans="1:7" ht="15" hidden="1" customHeight="1" x14ac:dyDescent="0.3">
      <c r="A52" s="2" t="s">
        <v>7</v>
      </c>
      <c r="B52" s="3">
        <v>43852</v>
      </c>
      <c r="C52" s="4">
        <v>2020</v>
      </c>
      <c r="D52" s="2" t="s">
        <v>16</v>
      </c>
      <c r="E52" s="5">
        <v>1.29</v>
      </c>
      <c r="F52" s="2" t="s">
        <v>17</v>
      </c>
      <c r="G52" s="4" t="str">
        <f>IF(F52="Payment / Credit","Payment",IF(E52&lt;0,"Income","Spend"))</f>
        <v>Spend</v>
      </c>
    </row>
    <row r="53" spans="1:7" ht="15" hidden="1" customHeight="1" x14ac:dyDescent="0.3">
      <c r="A53" s="2" t="s">
        <v>7</v>
      </c>
      <c r="B53" s="3">
        <v>43852</v>
      </c>
      <c r="C53" s="4">
        <v>2020</v>
      </c>
      <c r="D53" s="2" t="s">
        <v>16</v>
      </c>
      <c r="E53" s="5">
        <v>2.31</v>
      </c>
      <c r="F53" s="2" t="s">
        <v>17</v>
      </c>
      <c r="G53" s="4" t="str">
        <f>IF(F53="Payment / Credit","Payment",IF(E53&lt;0,"Income","Spend"))</f>
        <v>Spend</v>
      </c>
    </row>
    <row r="54" spans="1:7" ht="15" hidden="1" customHeight="1" x14ac:dyDescent="0.3">
      <c r="A54" s="2" t="s">
        <v>7</v>
      </c>
      <c r="B54" s="3">
        <v>43852</v>
      </c>
      <c r="C54" s="4">
        <v>2020</v>
      </c>
      <c r="D54" s="2" t="s">
        <v>16</v>
      </c>
      <c r="E54" s="5">
        <v>0.7</v>
      </c>
      <c r="F54" s="2" t="s">
        <v>17</v>
      </c>
      <c r="G54" s="4" t="str">
        <f>IF(F54="Payment / Credit","Payment",IF(E54&lt;0,"Income","Spend"))</f>
        <v>Spend</v>
      </c>
    </row>
    <row r="55" spans="1:7" ht="15" hidden="1" customHeight="1" x14ac:dyDescent="0.3">
      <c r="A55" s="2" t="s">
        <v>7</v>
      </c>
      <c r="B55" s="3">
        <v>43853</v>
      </c>
      <c r="C55" s="4">
        <v>2020</v>
      </c>
      <c r="D55" s="2" t="s">
        <v>51</v>
      </c>
      <c r="E55" s="5">
        <v>22.01</v>
      </c>
      <c r="F55" s="2" t="s">
        <v>9</v>
      </c>
      <c r="G55" s="4" t="str">
        <f>IF(F55="Payment / Credit","Payment",IF(E55&lt;0,"Income","Spend"))</f>
        <v>Spend</v>
      </c>
    </row>
    <row r="56" spans="1:7" ht="15" hidden="1" customHeight="1" x14ac:dyDescent="0.3">
      <c r="A56" s="2" t="s">
        <v>7</v>
      </c>
      <c r="B56" s="3">
        <v>43853</v>
      </c>
      <c r="C56" s="4">
        <v>2020</v>
      </c>
      <c r="D56" s="2" t="s">
        <v>16</v>
      </c>
      <c r="E56" s="5">
        <v>2.31</v>
      </c>
      <c r="F56" s="2" t="s">
        <v>17</v>
      </c>
      <c r="G56" s="4" t="str">
        <f>IF(F56="Payment / Credit","Payment",IF(E56&lt;0,"Income","Spend"))</f>
        <v>Spend</v>
      </c>
    </row>
    <row r="57" spans="1:7" ht="15" hidden="1" customHeight="1" x14ac:dyDescent="0.3">
      <c r="A57" s="2" t="s">
        <v>7</v>
      </c>
      <c r="B57" s="3">
        <v>43854</v>
      </c>
      <c r="C57" s="4">
        <v>2020</v>
      </c>
      <c r="D57" s="2" t="s">
        <v>18</v>
      </c>
      <c r="E57" s="5">
        <v>21</v>
      </c>
      <c r="F57" s="2" t="s">
        <v>11</v>
      </c>
      <c r="G57" s="4" t="str">
        <f>IF(F57="Payment / Credit","Payment",IF(E57&lt;0,"Income","Spend"))</f>
        <v>Spend</v>
      </c>
    </row>
    <row r="58" spans="1:7" ht="15" hidden="1" customHeight="1" x14ac:dyDescent="0.3">
      <c r="A58" s="2" t="s">
        <v>7</v>
      </c>
      <c r="B58" s="3">
        <v>43854</v>
      </c>
      <c r="C58" s="4">
        <v>2020</v>
      </c>
      <c r="D58" s="2" t="s">
        <v>16</v>
      </c>
      <c r="E58" s="5">
        <v>3.79</v>
      </c>
      <c r="F58" s="2" t="s">
        <v>17</v>
      </c>
      <c r="G58" s="4" t="str">
        <f>IF(F58="Payment / Credit","Payment",IF(E58&lt;0,"Income","Spend"))</f>
        <v>Spend</v>
      </c>
    </row>
    <row r="59" spans="1:7" ht="15" hidden="1" customHeight="1" x14ac:dyDescent="0.3">
      <c r="A59" s="2" t="s">
        <v>7</v>
      </c>
      <c r="B59" s="3">
        <v>43854</v>
      </c>
      <c r="C59" s="4">
        <v>2020</v>
      </c>
      <c r="D59" s="2" t="s">
        <v>53</v>
      </c>
      <c r="E59" s="5">
        <v>4.08</v>
      </c>
      <c r="F59" s="2" t="s">
        <v>9</v>
      </c>
      <c r="G59" s="4" t="str">
        <f>IF(F59="Payment / Credit","Payment",IF(E59&lt;0,"Income","Spend"))</f>
        <v>Spend</v>
      </c>
    </row>
    <row r="60" spans="1:7" ht="15" hidden="1" customHeight="1" x14ac:dyDescent="0.3">
      <c r="A60" s="2" t="s">
        <v>7</v>
      </c>
      <c r="B60" s="3">
        <v>43854</v>
      </c>
      <c r="C60" s="4">
        <v>2020</v>
      </c>
      <c r="D60" s="2" t="s">
        <v>16</v>
      </c>
      <c r="E60" s="5">
        <v>0.7</v>
      </c>
      <c r="F60" s="2" t="s">
        <v>17</v>
      </c>
      <c r="G60" s="4" t="str">
        <f>IF(F60="Payment / Credit","Payment",IF(E60&lt;0,"Income","Spend"))</f>
        <v>Spend</v>
      </c>
    </row>
    <row r="61" spans="1:7" ht="15" hidden="1" customHeight="1" x14ac:dyDescent="0.3">
      <c r="A61" s="2" t="s">
        <v>7</v>
      </c>
      <c r="B61" s="3">
        <v>43857</v>
      </c>
      <c r="C61" s="4">
        <v>2020</v>
      </c>
      <c r="D61" s="2" t="s">
        <v>51</v>
      </c>
      <c r="E61" s="5">
        <v>1.65</v>
      </c>
      <c r="F61" s="2" t="s">
        <v>9</v>
      </c>
      <c r="G61" s="4" t="str">
        <f>IF(F61="Payment / Credit","Payment",IF(E61&lt;0,"Income","Spend"))</f>
        <v>Spend</v>
      </c>
    </row>
    <row r="62" spans="1:7" ht="15" hidden="1" customHeight="1" x14ac:dyDescent="0.3">
      <c r="A62" s="2" t="s">
        <v>7</v>
      </c>
      <c r="B62" s="3">
        <v>43858</v>
      </c>
      <c r="C62" s="4">
        <v>2020</v>
      </c>
      <c r="D62" s="2" t="s">
        <v>16</v>
      </c>
      <c r="E62" s="5">
        <v>0.7</v>
      </c>
      <c r="F62" s="2" t="s">
        <v>17</v>
      </c>
      <c r="G62" s="4" t="str">
        <f>IF(F62="Payment / Credit","Payment",IF(E62&lt;0,"Income","Spend"))</f>
        <v>Spend</v>
      </c>
    </row>
    <row r="63" spans="1:7" ht="15" hidden="1" customHeight="1" x14ac:dyDescent="0.3">
      <c r="A63" s="2" t="s">
        <v>7</v>
      </c>
      <c r="B63" s="3">
        <v>43858</v>
      </c>
      <c r="C63" s="4">
        <v>2020</v>
      </c>
      <c r="D63" s="2" t="s">
        <v>16</v>
      </c>
      <c r="E63" s="5">
        <v>3.79</v>
      </c>
      <c r="F63" s="2" t="s">
        <v>17</v>
      </c>
      <c r="G63" s="4" t="str">
        <f>IF(F63="Payment / Credit","Payment",IF(E63&lt;0,"Income","Spend"))</f>
        <v>Spend</v>
      </c>
    </row>
    <row r="64" spans="1:7" ht="15" hidden="1" customHeight="1" x14ac:dyDescent="0.3">
      <c r="A64" s="2" t="s">
        <v>7</v>
      </c>
      <c r="B64" s="3">
        <v>43859</v>
      </c>
      <c r="C64" s="4">
        <v>2020</v>
      </c>
      <c r="D64" s="2" t="s">
        <v>51</v>
      </c>
      <c r="E64" s="5">
        <v>4.4000000000000004</v>
      </c>
      <c r="F64" s="2" t="s">
        <v>9</v>
      </c>
      <c r="G64" s="4" t="str">
        <f>IF(F64="Payment / Credit","Payment",IF(E64&lt;0,"Income","Spend"))</f>
        <v>Spend</v>
      </c>
    </row>
    <row r="65" spans="1:7" ht="15" hidden="1" customHeight="1" x14ac:dyDescent="0.3">
      <c r="A65" s="2" t="s">
        <v>7</v>
      </c>
      <c r="B65" s="3">
        <v>43859</v>
      </c>
      <c r="C65" s="4">
        <v>2020</v>
      </c>
      <c r="D65" s="2" t="s">
        <v>16</v>
      </c>
      <c r="E65" s="5">
        <v>8.36</v>
      </c>
      <c r="F65" s="2" t="s">
        <v>17</v>
      </c>
      <c r="G65" s="4" t="str">
        <f>IF(F65="Payment / Credit","Payment",IF(E65&lt;0,"Income","Spend"))</f>
        <v>Spend</v>
      </c>
    </row>
    <row r="66" spans="1:7" ht="15" hidden="1" customHeight="1" x14ac:dyDescent="0.3">
      <c r="A66" s="2" t="s">
        <v>7</v>
      </c>
      <c r="B66" s="3">
        <v>43859</v>
      </c>
      <c r="C66" s="4">
        <v>2020</v>
      </c>
      <c r="D66" s="2" t="s">
        <v>16</v>
      </c>
      <c r="E66" s="5">
        <v>2.19</v>
      </c>
      <c r="F66" s="2" t="s">
        <v>17</v>
      </c>
      <c r="G66" s="4" t="str">
        <f>IF(F66="Payment / Credit","Payment",IF(E66&lt;0,"Income","Spend"))</f>
        <v>Spend</v>
      </c>
    </row>
    <row r="67" spans="1:7" ht="15" hidden="1" customHeight="1" x14ac:dyDescent="0.3">
      <c r="A67" s="2" t="s">
        <v>7</v>
      </c>
      <c r="B67" s="3">
        <v>43859</v>
      </c>
      <c r="C67" s="4">
        <v>2020</v>
      </c>
      <c r="D67" s="2" t="s">
        <v>16</v>
      </c>
      <c r="E67" s="5">
        <v>0.7</v>
      </c>
      <c r="F67" s="2" t="s">
        <v>17</v>
      </c>
      <c r="G67" s="4" t="str">
        <f>IF(F67="Payment / Credit","Payment",IF(E67&lt;0,"Income","Spend"))</f>
        <v>Spend</v>
      </c>
    </row>
    <row r="68" spans="1:7" ht="15" hidden="1" customHeight="1" x14ac:dyDescent="0.3">
      <c r="A68" s="2" t="s">
        <v>7</v>
      </c>
      <c r="B68" s="3">
        <v>43860</v>
      </c>
      <c r="C68" s="4">
        <v>2020</v>
      </c>
      <c r="D68" s="2" t="s">
        <v>45</v>
      </c>
      <c r="E68" s="5">
        <v>2.33</v>
      </c>
      <c r="F68" s="2" t="s">
        <v>17</v>
      </c>
      <c r="G68" s="4" t="str">
        <f>IF(F68="Payment / Credit","Payment",IF(E68&lt;0,"Income","Spend"))</f>
        <v>Spend</v>
      </c>
    </row>
    <row r="69" spans="1:7" ht="15" hidden="1" customHeight="1" x14ac:dyDescent="0.3">
      <c r="A69" s="2" t="s">
        <v>7</v>
      </c>
      <c r="B69" s="3">
        <v>43865</v>
      </c>
      <c r="C69" s="4">
        <v>2020</v>
      </c>
      <c r="D69" s="2" t="s">
        <v>16</v>
      </c>
      <c r="E69" s="5">
        <v>7.55</v>
      </c>
      <c r="F69" s="2" t="s">
        <v>17</v>
      </c>
      <c r="G69" s="4" t="str">
        <f>IF(F69="Payment / Credit","Payment",IF(E69&lt;0,"Income","Spend"))</f>
        <v>Spend</v>
      </c>
    </row>
    <row r="70" spans="1:7" ht="15" hidden="1" customHeight="1" x14ac:dyDescent="0.3">
      <c r="A70" s="2" t="s">
        <v>7</v>
      </c>
      <c r="B70" s="3">
        <v>43865</v>
      </c>
      <c r="C70" s="4">
        <v>2020</v>
      </c>
      <c r="D70" s="2" t="s">
        <v>16</v>
      </c>
      <c r="E70" s="5">
        <v>1.35</v>
      </c>
      <c r="F70" s="2" t="s">
        <v>17</v>
      </c>
      <c r="G70" s="4" t="str">
        <f>IF(F70="Payment / Credit","Payment",IF(E70&lt;0,"Income","Spend"))</f>
        <v>Spend</v>
      </c>
    </row>
    <row r="71" spans="1:7" ht="15" customHeight="1" x14ac:dyDescent="0.3">
      <c r="A71" s="2" t="s">
        <v>7</v>
      </c>
      <c r="B71" s="3">
        <v>43865</v>
      </c>
      <c r="C71" s="4">
        <v>2020</v>
      </c>
      <c r="D71" s="2" t="s">
        <v>54</v>
      </c>
      <c r="E71" s="5">
        <v>1636.37</v>
      </c>
      <c r="F71" s="2" t="s">
        <v>208</v>
      </c>
      <c r="G71" s="4" t="str">
        <f>IF(F71="Payment / Credit","Payment",IF(E71&lt;0,"Income","Spend"))</f>
        <v>Spend</v>
      </c>
    </row>
    <row r="72" spans="1:7" ht="15" hidden="1" customHeight="1" x14ac:dyDescent="0.3">
      <c r="A72" s="2" t="s">
        <v>7</v>
      </c>
      <c r="B72" s="3">
        <v>43867</v>
      </c>
      <c r="C72" s="4">
        <v>2020</v>
      </c>
      <c r="D72" s="2" t="s">
        <v>44</v>
      </c>
      <c r="E72" s="5">
        <v>7.12</v>
      </c>
      <c r="F72" s="2" t="s">
        <v>17</v>
      </c>
      <c r="G72" s="4" t="str">
        <f>IF(F72="Payment / Credit","Payment",IF(E72&lt;0,"Income","Spend"))</f>
        <v>Spend</v>
      </c>
    </row>
    <row r="73" spans="1:7" ht="15" hidden="1" customHeight="1" x14ac:dyDescent="0.3">
      <c r="A73" s="2" t="s">
        <v>7</v>
      </c>
      <c r="B73" s="3">
        <v>43867</v>
      </c>
      <c r="C73" s="4">
        <v>2020</v>
      </c>
      <c r="D73" s="2" t="s">
        <v>55</v>
      </c>
      <c r="E73" s="5">
        <v>8.75</v>
      </c>
      <c r="F73" s="2" t="s">
        <v>17</v>
      </c>
      <c r="G73" s="4" t="str">
        <f>IF(F73="Payment / Credit","Payment",IF(E73&lt;0,"Income","Spend"))</f>
        <v>Spend</v>
      </c>
    </row>
    <row r="74" spans="1:7" ht="15" hidden="1" customHeight="1" x14ac:dyDescent="0.3">
      <c r="A74" s="2" t="s">
        <v>7</v>
      </c>
      <c r="B74" s="3">
        <v>43867</v>
      </c>
      <c r="C74" s="4">
        <v>2020</v>
      </c>
      <c r="D74" s="2" t="s">
        <v>10</v>
      </c>
      <c r="E74" s="5">
        <v>2.17</v>
      </c>
      <c r="F74" s="2" t="s">
        <v>11</v>
      </c>
      <c r="G74" s="4" t="str">
        <f>IF(F74="Payment / Credit","Payment",IF(E74&lt;0,"Income","Spend"))</f>
        <v>Spend</v>
      </c>
    </row>
    <row r="75" spans="1:7" ht="15" hidden="1" customHeight="1" x14ac:dyDescent="0.3">
      <c r="A75" s="2" t="s">
        <v>7</v>
      </c>
      <c r="B75" s="3">
        <v>43867</v>
      </c>
      <c r="C75" s="4">
        <v>2020</v>
      </c>
      <c r="D75" s="2" t="s">
        <v>10</v>
      </c>
      <c r="E75" s="5">
        <v>10.81</v>
      </c>
      <c r="F75" s="2" t="s">
        <v>11</v>
      </c>
      <c r="G75" s="4" t="str">
        <f>IF(F75="Payment / Credit","Payment",IF(E75&lt;0,"Income","Spend"))</f>
        <v>Spend</v>
      </c>
    </row>
    <row r="76" spans="1:7" ht="15" hidden="1" customHeight="1" x14ac:dyDescent="0.3">
      <c r="A76" s="2" t="s">
        <v>7</v>
      </c>
      <c r="B76" s="3">
        <v>43868</v>
      </c>
      <c r="C76" s="4">
        <v>2020</v>
      </c>
      <c r="D76" s="2" t="s">
        <v>16</v>
      </c>
      <c r="E76" s="5">
        <v>7.97</v>
      </c>
      <c r="F76" s="2" t="s">
        <v>17</v>
      </c>
      <c r="G76" s="4" t="str">
        <f>IF(F76="Payment / Credit","Payment",IF(E76&lt;0,"Income","Spend"))</f>
        <v>Spend</v>
      </c>
    </row>
    <row r="77" spans="1:7" ht="15" hidden="1" customHeight="1" x14ac:dyDescent="0.3">
      <c r="A77" s="2" t="s">
        <v>7</v>
      </c>
      <c r="B77" s="3">
        <v>43868</v>
      </c>
      <c r="C77" s="4">
        <v>2020</v>
      </c>
      <c r="D77" s="2" t="s">
        <v>16</v>
      </c>
      <c r="E77" s="5">
        <v>0.7</v>
      </c>
      <c r="F77" s="2" t="s">
        <v>17</v>
      </c>
      <c r="G77" s="4" t="str">
        <f>IF(F77="Payment / Credit","Payment",IF(E77&lt;0,"Income","Spend"))</f>
        <v>Spend</v>
      </c>
    </row>
    <row r="78" spans="1:7" ht="15" hidden="1" customHeight="1" x14ac:dyDescent="0.3">
      <c r="A78" s="2" t="s">
        <v>7</v>
      </c>
      <c r="B78" s="3">
        <v>43868</v>
      </c>
      <c r="C78" s="4">
        <v>2020</v>
      </c>
      <c r="D78" s="2" t="s">
        <v>16</v>
      </c>
      <c r="E78" s="5">
        <v>3.01</v>
      </c>
      <c r="F78" s="2" t="s">
        <v>17</v>
      </c>
      <c r="G78" s="4" t="str">
        <f>IF(F78="Payment / Credit","Payment",IF(E78&lt;0,"Income","Spend"))</f>
        <v>Spend</v>
      </c>
    </row>
    <row r="79" spans="1:7" ht="15" hidden="1" customHeight="1" x14ac:dyDescent="0.3">
      <c r="A79" s="2" t="s">
        <v>7</v>
      </c>
      <c r="B79" s="3">
        <v>43869</v>
      </c>
      <c r="C79" s="4">
        <v>2020</v>
      </c>
      <c r="D79" s="2" t="s">
        <v>56</v>
      </c>
      <c r="E79" s="5">
        <v>26.45</v>
      </c>
      <c r="F79" s="2" t="s">
        <v>13</v>
      </c>
      <c r="G79" s="4" t="str">
        <f>IF(F79="Payment / Credit","Payment",IF(E79&lt;0,"Income","Spend"))</f>
        <v>Spend</v>
      </c>
    </row>
    <row r="80" spans="1:7" ht="15" hidden="1" customHeight="1" x14ac:dyDescent="0.3">
      <c r="A80" s="2" t="s">
        <v>7</v>
      </c>
      <c r="B80" s="3">
        <v>43869</v>
      </c>
      <c r="C80" s="4">
        <v>2020</v>
      </c>
      <c r="D80" s="2" t="s">
        <v>57</v>
      </c>
      <c r="E80" s="5">
        <v>2.87</v>
      </c>
      <c r="F80" s="2" t="s">
        <v>17</v>
      </c>
      <c r="G80" s="4" t="str">
        <f>IF(F80="Payment / Credit","Payment",IF(E80&lt;0,"Income","Spend"))</f>
        <v>Spend</v>
      </c>
    </row>
    <row r="81" spans="1:7" ht="15" hidden="1" customHeight="1" x14ac:dyDescent="0.3">
      <c r="A81" s="2" t="s">
        <v>7</v>
      </c>
      <c r="B81" s="3">
        <v>43869</v>
      </c>
      <c r="C81" s="4">
        <v>2020</v>
      </c>
      <c r="D81" s="2" t="s">
        <v>58</v>
      </c>
      <c r="E81" s="5">
        <v>5.5</v>
      </c>
      <c r="F81" s="2" t="s">
        <v>13</v>
      </c>
      <c r="G81" s="4" t="str">
        <f>IF(F81="Payment / Credit","Payment",IF(E81&lt;0,"Income","Spend"))</f>
        <v>Spend</v>
      </c>
    </row>
    <row r="82" spans="1:7" ht="15" hidden="1" customHeight="1" x14ac:dyDescent="0.3">
      <c r="A82" s="2" t="s">
        <v>7</v>
      </c>
      <c r="B82" s="3">
        <v>43872</v>
      </c>
      <c r="C82" s="4">
        <v>2020</v>
      </c>
      <c r="D82" s="2" t="s">
        <v>10</v>
      </c>
      <c r="E82" s="5">
        <v>16.39</v>
      </c>
      <c r="F82" s="2" t="s">
        <v>11</v>
      </c>
      <c r="G82" s="4" t="str">
        <f>IF(F82="Payment / Credit","Payment",IF(E82&lt;0,"Income","Spend"))</f>
        <v>Spend</v>
      </c>
    </row>
    <row r="83" spans="1:7" ht="15" hidden="1" customHeight="1" x14ac:dyDescent="0.3">
      <c r="A83" s="2" t="s">
        <v>7</v>
      </c>
      <c r="B83" s="3">
        <v>43873</v>
      </c>
      <c r="C83" s="4">
        <v>2020</v>
      </c>
      <c r="D83" s="2" t="s">
        <v>46</v>
      </c>
      <c r="E83" s="5">
        <v>-48.63</v>
      </c>
      <c r="F83" s="2" t="s">
        <v>47</v>
      </c>
      <c r="G83" s="4" t="str">
        <f>IF(F83="Payment / Credit","Payment",IF(E83&lt;0,"Income","Spend"))</f>
        <v>Payment</v>
      </c>
    </row>
    <row r="84" spans="1:7" ht="15" hidden="1" customHeight="1" x14ac:dyDescent="0.3">
      <c r="A84" s="2" t="s">
        <v>7</v>
      </c>
      <c r="B84" s="3">
        <v>43880</v>
      </c>
      <c r="C84" s="4">
        <v>2020</v>
      </c>
      <c r="D84" s="2" t="s">
        <v>57</v>
      </c>
      <c r="E84" s="5">
        <v>4.45</v>
      </c>
      <c r="F84" s="2" t="s">
        <v>17</v>
      </c>
      <c r="G84" s="4" t="str">
        <f>IF(F84="Payment / Credit","Payment",IF(E84&lt;0,"Income","Spend"))</f>
        <v>Spend</v>
      </c>
    </row>
    <row r="85" spans="1:7" ht="15" hidden="1" customHeight="1" x14ac:dyDescent="0.3">
      <c r="A85" s="2" t="s">
        <v>7</v>
      </c>
      <c r="B85" s="3">
        <v>43885</v>
      </c>
      <c r="C85" s="4">
        <v>2020</v>
      </c>
      <c r="D85" s="2" t="s">
        <v>18</v>
      </c>
      <c r="E85" s="5">
        <v>43.03</v>
      </c>
      <c r="F85" s="2" t="s">
        <v>11</v>
      </c>
      <c r="G85" s="4" t="str">
        <f>IF(F85="Payment / Credit","Payment",IF(E85&lt;0,"Income","Spend"))</f>
        <v>Spend</v>
      </c>
    </row>
    <row r="86" spans="1:7" ht="15" hidden="1" customHeight="1" x14ac:dyDescent="0.3">
      <c r="A86" s="2" t="s">
        <v>7</v>
      </c>
      <c r="B86" s="3">
        <v>43885</v>
      </c>
      <c r="C86" s="4">
        <v>2020</v>
      </c>
      <c r="D86" s="2" t="s">
        <v>16</v>
      </c>
      <c r="E86" s="5">
        <v>9.09</v>
      </c>
      <c r="F86" s="2" t="s">
        <v>17</v>
      </c>
      <c r="G86" s="4" t="str">
        <f>IF(F86="Payment / Credit","Payment",IF(E86&lt;0,"Income","Spend"))</f>
        <v>Spend</v>
      </c>
    </row>
    <row r="87" spans="1:7" ht="15" hidden="1" customHeight="1" x14ac:dyDescent="0.3">
      <c r="A87" s="2" t="s">
        <v>7</v>
      </c>
      <c r="B87" s="3">
        <v>43885</v>
      </c>
      <c r="C87" s="4">
        <v>2020</v>
      </c>
      <c r="D87" s="2" t="s">
        <v>59</v>
      </c>
      <c r="E87" s="5">
        <v>9.09</v>
      </c>
      <c r="F87" s="2" t="s">
        <v>17</v>
      </c>
      <c r="G87" s="4" t="str">
        <f>IF(F87="Payment / Credit","Payment",IF(E87&lt;0,"Income","Spend"))</f>
        <v>Spend</v>
      </c>
    </row>
    <row r="88" spans="1:7" ht="15" hidden="1" customHeight="1" x14ac:dyDescent="0.3">
      <c r="A88" s="2" t="s">
        <v>7</v>
      </c>
      <c r="B88" s="3">
        <v>43887</v>
      </c>
      <c r="C88" s="4">
        <v>2020</v>
      </c>
      <c r="D88" s="2" t="s">
        <v>60</v>
      </c>
      <c r="E88" s="5">
        <v>8.98</v>
      </c>
      <c r="F88" s="2" t="s">
        <v>13</v>
      </c>
      <c r="G88" s="4" t="str">
        <f>IF(F88="Payment / Credit","Payment",IF(E88&lt;0,"Income","Spend"))</f>
        <v>Spend</v>
      </c>
    </row>
    <row r="89" spans="1:7" ht="15" hidden="1" customHeight="1" x14ac:dyDescent="0.3">
      <c r="A89" s="2" t="s">
        <v>7</v>
      </c>
      <c r="B89" s="3">
        <v>43887</v>
      </c>
      <c r="C89" s="4">
        <v>2020</v>
      </c>
      <c r="D89" s="2" t="s">
        <v>20</v>
      </c>
      <c r="E89" s="5">
        <v>0.7</v>
      </c>
      <c r="F89" s="2" t="s">
        <v>17</v>
      </c>
      <c r="G89" s="4" t="str">
        <f>IF(F89="Payment / Credit","Payment",IF(E89&lt;0,"Income","Spend"))</f>
        <v>Spend</v>
      </c>
    </row>
    <row r="90" spans="1:7" ht="15" hidden="1" customHeight="1" x14ac:dyDescent="0.3">
      <c r="A90" s="2" t="s">
        <v>7</v>
      </c>
      <c r="B90" s="3">
        <v>43888</v>
      </c>
      <c r="C90" s="4">
        <v>2020</v>
      </c>
      <c r="D90" s="2" t="s">
        <v>45</v>
      </c>
      <c r="E90" s="5">
        <v>2.16</v>
      </c>
      <c r="F90" s="2" t="s">
        <v>17</v>
      </c>
      <c r="G90" s="4" t="str">
        <f>IF(F90="Payment / Credit","Payment",IF(E90&lt;0,"Income","Spend"))</f>
        <v>Spend</v>
      </c>
    </row>
    <row r="91" spans="1:7" ht="15" hidden="1" customHeight="1" x14ac:dyDescent="0.3">
      <c r="A91" s="2" t="s">
        <v>7</v>
      </c>
      <c r="B91" s="3">
        <v>43888</v>
      </c>
      <c r="C91" s="4">
        <v>2020</v>
      </c>
      <c r="D91" s="2" t="s">
        <v>16</v>
      </c>
      <c r="E91" s="5">
        <v>6.32</v>
      </c>
      <c r="F91" s="2" t="s">
        <v>17</v>
      </c>
      <c r="G91" s="4" t="str">
        <f>IF(F91="Payment / Credit","Payment",IF(E91&lt;0,"Income","Spend"))</f>
        <v>Spend</v>
      </c>
    </row>
    <row r="92" spans="1:7" ht="15" hidden="1" customHeight="1" x14ac:dyDescent="0.3">
      <c r="A92" s="2" t="s">
        <v>7</v>
      </c>
      <c r="B92" s="3">
        <v>43889</v>
      </c>
      <c r="C92" s="4">
        <v>2020</v>
      </c>
      <c r="D92" s="2" t="s">
        <v>16</v>
      </c>
      <c r="E92" s="5">
        <v>0.7</v>
      </c>
      <c r="F92" s="2" t="s">
        <v>17</v>
      </c>
      <c r="G92" s="4" t="str">
        <f>IF(F92="Payment / Credit","Payment",IF(E92&lt;0,"Income","Spend"))</f>
        <v>Spend</v>
      </c>
    </row>
    <row r="93" spans="1:7" ht="15" hidden="1" customHeight="1" x14ac:dyDescent="0.3">
      <c r="A93" s="2" t="s">
        <v>7</v>
      </c>
      <c r="B93" s="3">
        <v>43891</v>
      </c>
      <c r="C93" s="4">
        <v>2020</v>
      </c>
      <c r="D93" s="2" t="s">
        <v>61</v>
      </c>
      <c r="E93" s="5">
        <v>13.71</v>
      </c>
      <c r="F93" s="2" t="s">
        <v>17</v>
      </c>
      <c r="G93" s="4" t="str">
        <f>IF(F93="Payment / Credit","Payment",IF(E93&lt;0,"Income","Spend"))</f>
        <v>Spend</v>
      </c>
    </row>
    <row r="94" spans="1:7" ht="15" hidden="1" customHeight="1" x14ac:dyDescent="0.3">
      <c r="A94" s="2" t="s">
        <v>7</v>
      </c>
      <c r="B94" s="3">
        <v>43891</v>
      </c>
      <c r="C94" s="4">
        <v>2020</v>
      </c>
      <c r="D94" s="2" t="s">
        <v>8</v>
      </c>
      <c r="E94" s="5">
        <v>2.58</v>
      </c>
      <c r="F94" s="2" t="s">
        <v>9</v>
      </c>
      <c r="G94" s="4" t="str">
        <f>IF(F94="Payment / Credit","Payment",IF(E94&lt;0,"Income","Spend"))</f>
        <v>Spend</v>
      </c>
    </row>
    <row r="95" spans="1:7" ht="15" hidden="1" customHeight="1" x14ac:dyDescent="0.3">
      <c r="A95" s="2" t="s">
        <v>7</v>
      </c>
      <c r="B95" s="3">
        <v>43891</v>
      </c>
      <c r="C95" s="4">
        <v>2020</v>
      </c>
      <c r="D95" s="2" t="s">
        <v>8</v>
      </c>
      <c r="E95" s="5">
        <v>1.38</v>
      </c>
      <c r="F95" s="2" t="s">
        <v>9</v>
      </c>
      <c r="G95" s="4" t="str">
        <f>IF(F95="Payment / Credit","Payment",IF(E95&lt;0,"Income","Spend"))</f>
        <v>Spend</v>
      </c>
    </row>
    <row r="96" spans="1:7" ht="15" customHeight="1" x14ac:dyDescent="0.3">
      <c r="A96" s="2" t="s">
        <v>7</v>
      </c>
      <c r="B96" s="3">
        <v>43893</v>
      </c>
      <c r="C96" s="4">
        <v>2020</v>
      </c>
      <c r="D96" s="2" t="s">
        <v>62</v>
      </c>
      <c r="E96" s="5">
        <v>350</v>
      </c>
      <c r="F96" s="2" t="s">
        <v>41</v>
      </c>
      <c r="G96" s="4" t="str">
        <f>IF(F96="Payment / Credit","Payment",IF(E96&lt;0,"Income","Spend"))</f>
        <v>Spend</v>
      </c>
    </row>
    <row r="97" spans="1:7" ht="15" hidden="1" customHeight="1" x14ac:dyDescent="0.3">
      <c r="A97" s="2" t="s">
        <v>7</v>
      </c>
      <c r="B97" s="3">
        <v>43894</v>
      </c>
      <c r="C97" s="4">
        <v>2020</v>
      </c>
      <c r="D97" s="2" t="s">
        <v>63</v>
      </c>
      <c r="E97" s="5">
        <v>4.37</v>
      </c>
      <c r="F97" s="2" t="s">
        <v>9</v>
      </c>
      <c r="G97" s="4" t="str">
        <f>IF(F97="Payment / Credit","Payment",IF(E97&lt;0,"Income","Spend"))</f>
        <v>Spend</v>
      </c>
    </row>
    <row r="98" spans="1:7" ht="15" hidden="1" customHeight="1" x14ac:dyDescent="0.3">
      <c r="A98" s="2" t="s">
        <v>7</v>
      </c>
      <c r="B98" s="3">
        <v>43894</v>
      </c>
      <c r="C98" s="4">
        <v>2020</v>
      </c>
      <c r="D98" s="2" t="s">
        <v>63</v>
      </c>
      <c r="E98" s="5">
        <v>56.88</v>
      </c>
      <c r="F98" s="2" t="s">
        <v>9</v>
      </c>
      <c r="G98" s="4" t="str">
        <f>IF(F98="Payment / Credit","Payment",IF(E98&lt;0,"Income","Spend"))</f>
        <v>Spend</v>
      </c>
    </row>
    <row r="99" spans="1:7" ht="15" hidden="1" customHeight="1" x14ac:dyDescent="0.3">
      <c r="A99" s="2" t="s">
        <v>7</v>
      </c>
      <c r="B99" s="3">
        <v>43896</v>
      </c>
      <c r="C99" s="4">
        <v>2020</v>
      </c>
      <c r="D99" s="2" t="s">
        <v>20</v>
      </c>
      <c r="E99" s="5">
        <v>1.39</v>
      </c>
      <c r="F99" s="2" t="s">
        <v>17</v>
      </c>
      <c r="G99" s="4" t="str">
        <f>IF(F99="Payment / Credit","Payment",IF(E99&lt;0,"Income","Spend"))</f>
        <v>Spend</v>
      </c>
    </row>
    <row r="100" spans="1:7" ht="15" hidden="1" customHeight="1" x14ac:dyDescent="0.3">
      <c r="A100" s="2" t="s">
        <v>7</v>
      </c>
      <c r="B100" s="3">
        <v>43902</v>
      </c>
      <c r="C100" s="4">
        <v>2020</v>
      </c>
      <c r="D100" s="2" t="s">
        <v>46</v>
      </c>
      <c r="E100" s="5">
        <v>-1884.57</v>
      </c>
      <c r="F100" s="2" t="s">
        <v>47</v>
      </c>
      <c r="G100" s="4" t="str">
        <f>IF(F100="Payment / Credit","Payment",IF(E100&lt;0,"Income","Spend"))</f>
        <v>Payment</v>
      </c>
    </row>
    <row r="101" spans="1:7" ht="15" hidden="1" customHeight="1" x14ac:dyDescent="0.3">
      <c r="A101" s="2" t="s">
        <v>7</v>
      </c>
      <c r="B101" s="3">
        <v>43903</v>
      </c>
      <c r="C101" s="4">
        <v>2020</v>
      </c>
      <c r="D101" s="2" t="s">
        <v>64</v>
      </c>
      <c r="E101" s="5">
        <v>42.22</v>
      </c>
      <c r="F101" s="2" t="s">
        <v>43</v>
      </c>
      <c r="G101" s="4" t="str">
        <f>IF(F101="Payment / Credit","Payment",IF(E101&lt;0,"Income","Spend"))</f>
        <v>Spend</v>
      </c>
    </row>
    <row r="102" spans="1:7" ht="15" hidden="1" customHeight="1" x14ac:dyDescent="0.3">
      <c r="A102" s="2" t="s">
        <v>7</v>
      </c>
      <c r="B102" s="3">
        <v>43911</v>
      </c>
      <c r="C102" s="4">
        <v>2020</v>
      </c>
      <c r="D102" s="2" t="s">
        <v>10</v>
      </c>
      <c r="E102" s="5">
        <v>9.76</v>
      </c>
      <c r="F102" s="2" t="s">
        <v>11</v>
      </c>
      <c r="G102" s="4" t="str">
        <f>IF(F102="Payment / Credit","Payment",IF(E102&lt;0,"Income","Spend"))</f>
        <v>Spend</v>
      </c>
    </row>
    <row r="103" spans="1:7" ht="15" hidden="1" customHeight="1" x14ac:dyDescent="0.3">
      <c r="A103" s="2" t="s">
        <v>7</v>
      </c>
      <c r="B103" s="3">
        <v>43933</v>
      </c>
      <c r="C103" s="4">
        <v>2020</v>
      </c>
      <c r="D103" s="2" t="s">
        <v>46</v>
      </c>
      <c r="E103" s="5">
        <v>-557.04999999999995</v>
      </c>
      <c r="F103" s="2" t="s">
        <v>47</v>
      </c>
      <c r="G103" s="4" t="str">
        <f>IF(F103="Payment / Credit","Payment",IF(E103&lt;0,"Income","Spend"))</f>
        <v>Payment</v>
      </c>
    </row>
    <row r="104" spans="1:7" ht="15" hidden="1" customHeight="1" x14ac:dyDescent="0.3">
      <c r="A104" s="2" t="s">
        <v>7</v>
      </c>
      <c r="B104" s="3">
        <v>44001</v>
      </c>
      <c r="C104" s="4">
        <v>2020</v>
      </c>
      <c r="D104" s="2" t="s">
        <v>27</v>
      </c>
      <c r="E104" s="5">
        <v>40.83</v>
      </c>
      <c r="F104" s="2" t="s">
        <v>9</v>
      </c>
      <c r="G104" s="4" t="str">
        <f>IF(F104="Payment / Credit","Payment",IF(E104&lt;0,"Income","Spend"))</f>
        <v>Spend</v>
      </c>
    </row>
    <row r="105" spans="1:7" ht="15" hidden="1" customHeight="1" x14ac:dyDescent="0.3">
      <c r="A105" s="2" t="s">
        <v>7</v>
      </c>
      <c r="B105" s="3">
        <v>44024</v>
      </c>
      <c r="C105" s="4">
        <v>2020</v>
      </c>
      <c r="D105" s="2" t="s">
        <v>46</v>
      </c>
      <c r="E105" s="5">
        <v>-8.7899999999999991</v>
      </c>
      <c r="F105" s="2" t="s">
        <v>47</v>
      </c>
      <c r="G105" s="4" t="str">
        <f>IF(F105="Payment / Credit","Payment",IF(E105&lt;0,"Income","Spend"))</f>
        <v>Payment</v>
      </c>
    </row>
    <row r="106" spans="1:7" ht="15" hidden="1" customHeight="1" x14ac:dyDescent="0.3">
      <c r="A106" s="2" t="s">
        <v>7</v>
      </c>
      <c r="B106" s="3">
        <v>44034</v>
      </c>
      <c r="C106" s="4">
        <v>2020</v>
      </c>
      <c r="D106" s="2" t="s">
        <v>63</v>
      </c>
      <c r="E106" s="5">
        <v>98.23</v>
      </c>
      <c r="F106" s="2" t="s">
        <v>9</v>
      </c>
      <c r="G106" s="4" t="str">
        <f>IF(F106="Payment / Credit","Payment",IF(E106&lt;0,"Income","Spend"))</f>
        <v>Spend</v>
      </c>
    </row>
    <row r="107" spans="1:7" ht="15" hidden="1" customHeight="1" x14ac:dyDescent="0.3">
      <c r="A107" s="2" t="s">
        <v>7</v>
      </c>
      <c r="B107" s="3">
        <v>44044</v>
      </c>
      <c r="C107" s="4">
        <v>2020</v>
      </c>
      <c r="D107" s="2" t="s">
        <v>51</v>
      </c>
      <c r="E107" s="5">
        <v>9.7100000000000009</v>
      </c>
      <c r="F107" s="2" t="s">
        <v>9</v>
      </c>
      <c r="G107" s="4" t="str">
        <f>IF(F107="Payment / Credit","Payment",IF(E107&lt;0,"Income","Spend"))</f>
        <v>Spend</v>
      </c>
    </row>
    <row r="108" spans="1:7" ht="15" hidden="1" customHeight="1" x14ac:dyDescent="0.3">
      <c r="A108" s="2" t="s">
        <v>7</v>
      </c>
      <c r="B108" s="3">
        <v>44050</v>
      </c>
      <c r="C108" s="4">
        <v>2020</v>
      </c>
      <c r="D108" s="2" t="s">
        <v>44</v>
      </c>
      <c r="E108" s="5">
        <v>8.7899999999999991</v>
      </c>
      <c r="F108" s="2" t="s">
        <v>17</v>
      </c>
      <c r="G108" s="4" t="str">
        <f>IF(F108="Payment / Credit","Payment",IF(E108&lt;0,"Income","Spend"))</f>
        <v>Spend</v>
      </c>
    </row>
    <row r="109" spans="1:7" ht="15" hidden="1" customHeight="1" x14ac:dyDescent="0.3">
      <c r="A109" s="2" t="s">
        <v>7</v>
      </c>
      <c r="B109" s="3">
        <v>44055</v>
      </c>
      <c r="C109" s="4">
        <v>2020</v>
      </c>
      <c r="D109" s="2" t="s">
        <v>46</v>
      </c>
      <c r="E109" s="5">
        <v>-40.83</v>
      </c>
      <c r="F109" s="2" t="s">
        <v>47</v>
      </c>
      <c r="G109" s="4" t="str">
        <f>IF(F109="Payment / Credit","Payment",IF(E109&lt;0,"Income","Spend"))</f>
        <v>Payment</v>
      </c>
    </row>
    <row r="110" spans="1:7" ht="15" hidden="1" customHeight="1" x14ac:dyDescent="0.3">
      <c r="A110" s="2" t="s">
        <v>7</v>
      </c>
      <c r="B110" s="3">
        <v>44090</v>
      </c>
      <c r="C110" s="4">
        <v>2020</v>
      </c>
      <c r="D110" s="2" t="s">
        <v>10</v>
      </c>
      <c r="E110" s="5">
        <v>1.41</v>
      </c>
      <c r="F110" s="2" t="s">
        <v>11</v>
      </c>
      <c r="G110" s="4" t="str">
        <f>IF(F110="Payment / Credit","Payment",IF(E110&lt;0,"Income","Spend"))</f>
        <v>Spend</v>
      </c>
    </row>
    <row r="111" spans="1:7" ht="15" hidden="1" customHeight="1" x14ac:dyDescent="0.3">
      <c r="A111" s="2" t="s">
        <v>7</v>
      </c>
      <c r="B111" s="3">
        <v>44091</v>
      </c>
      <c r="C111" s="4">
        <v>2020</v>
      </c>
      <c r="D111" s="2" t="s">
        <v>65</v>
      </c>
      <c r="E111" s="5">
        <v>150.55000000000001</v>
      </c>
      <c r="F111" s="2" t="s">
        <v>13</v>
      </c>
      <c r="G111" s="4" t="str">
        <f>IF(F111="Payment / Credit","Payment",IF(E111&lt;0,"Income","Spend"))</f>
        <v>Spend</v>
      </c>
    </row>
    <row r="112" spans="1:7" ht="15" hidden="1" customHeight="1" x14ac:dyDescent="0.3">
      <c r="A112" s="2" t="s">
        <v>7</v>
      </c>
      <c r="B112" s="3">
        <v>44092</v>
      </c>
      <c r="C112" s="4">
        <v>2020</v>
      </c>
      <c r="D112" s="2" t="s">
        <v>35</v>
      </c>
      <c r="E112" s="5">
        <v>11.15</v>
      </c>
      <c r="F112" s="2" t="s">
        <v>9</v>
      </c>
      <c r="G112" s="4" t="str">
        <f>IF(F112="Payment / Credit","Payment",IF(E112&lt;0,"Income","Spend"))</f>
        <v>Spend</v>
      </c>
    </row>
    <row r="113" spans="1:7" ht="15" hidden="1" customHeight="1" x14ac:dyDescent="0.3">
      <c r="A113" s="2" t="s">
        <v>7</v>
      </c>
      <c r="B113" s="3">
        <v>44092</v>
      </c>
      <c r="C113" s="4">
        <v>2020</v>
      </c>
      <c r="D113" s="2" t="s">
        <v>66</v>
      </c>
      <c r="E113" s="5">
        <v>27.24</v>
      </c>
      <c r="F113" s="2" t="s">
        <v>13</v>
      </c>
      <c r="G113" s="4" t="str">
        <f>IF(F113="Payment / Credit","Payment",IF(E113&lt;0,"Income","Spend"))</f>
        <v>Spend</v>
      </c>
    </row>
    <row r="114" spans="1:7" ht="15" hidden="1" customHeight="1" x14ac:dyDescent="0.3">
      <c r="A114" s="2" t="s">
        <v>7</v>
      </c>
      <c r="B114" s="3">
        <v>44092</v>
      </c>
      <c r="C114" s="4">
        <v>2020</v>
      </c>
      <c r="D114" s="2" t="s">
        <v>10</v>
      </c>
      <c r="E114" s="5">
        <v>3.04</v>
      </c>
      <c r="F114" s="2" t="s">
        <v>11</v>
      </c>
      <c r="G114" s="4" t="str">
        <f>IF(F114="Payment / Credit","Payment",IF(E114&lt;0,"Income","Spend"))</f>
        <v>Spend</v>
      </c>
    </row>
    <row r="115" spans="1:7" ht="15" hidden="1" customHeight="1" x14ac:dyDescent="0.3">
      <c r="A115" s="2" t="s">
        <v>7</v>
      </c>
      <c r="B115" s="3">
        <v>44093</v>
      </c>
      <c r="C115" s="4">
        <v>2020</v>
      </c>
      <c r="D115" s="2" t="s">
        <v>67</v>
      </c>
      <c r="E115" s="5">
        <v>1.99</v>
      </c>
      <c r="F115" s="2" t="s">
        <v>11</v>
      </c>
      <c r="G115" s="4" t="str">
        <f>IF(F115="Payment / Credit","Payment",IF(E115&lt;0,"Income","Spend"))</f>
        <v>Spend</v>
      </c>
    </row>
    <row r="116" spans="1:7" ht="15" hidden="1" customHeight="1" x14ac:dyDescent="0.3">
      <c r="A116" s="2" t="s">
        <v>7</v>
      </c>
      <c r="B116" s="3">
        <v>44093</v>
      </c>
      <c r="C116" s="4">
        <v>2020</v>
      </c>
      <c r="D116" s="2" t="s">
        <v>68</v>
      </c>
      <c r="E116" s="5">
        <v>21.19</v>
      </c>
      <c r="F116" s="2" t="s">
        <v>13</v>
      </c>
      <c r="G116" s="4" t="str">
        <f>IF(F116="Payment / Credit","Payment",IF(E116&lt;0,"Income","Spend"))</f>
        <v>Spend</v>
      </c>
    </row>
    <row r="117" spans="1:7" ht="15" hidden="1" customHeight="1" x14ac:dyDescent="0.3">
      <c r="A117" s="2" t="s">
        <v>7</v>
      </c>
      <c r="B117" s="3">
        <v>44096</v>
      </c>
      <c r="C117" s="4">
        <v>2020</v>
      </c>
      <c r="D117" s="2" t="s">
        <v>57</v>
      </c>
      <c r="E117" s="5">
        <v>8.98</v>
      </c>
      <c r="F117" s="2" t="s">
        <v>17</v>
      </c>
      <c r="G117" s="4" t="str">
        <f>IF(F117="Payment / Credit","Payment",IF(E117&lt;0,"Income","Spend"))</f>
        <v>Spend</v>
      </c>
    </row>
    <row r="118" spans="1:7" ht="15" hidden="1" customHeight="1" x14ac:dyDescent="0.3">
      <c r="A118" s="2" t="s">
        <v>7</v>
      </c>
      <c r="B118" s="3">
        <v>44099</v>
      </c>
      <c r="C118" s="4">
        <v>2020</v>
      </c>
      <c r="D118" s="2" t="s">
        <v>69</v>
      </c>
      <c r="E118" s="5">
        <v>32.79</v>
      </c>
      <c r="F118" s="2" t="s">
        <v>9</v>
      </c>
      <c r="G118" s="4" t="str">
        <f>IF(F118="Payment / Credit","Payment",IF(E118&lt;0,"Income","Spend"))</f>
        <v>Spend</v>
      </c>
    </row>
    <row r="119" spans="1:7" ht="15" hidden="1" customHeight="1" x14ac:dyDescent="0.3">
      <c r="A119" s="2" t="s">
        <v>7</v>
      </c>
      <c r="B119" s="3">
        <v>44100</v>
      </c>
      <c r="C119" s="4">
        <v>2020</v>
      </c>
      <c r="D119" s="2" t="s">
        <v>10</v>
      </c>
      <c r="E119" s="5">
        <v>2.0499999999999998</v>
      </c>
      <c r="F119" s="2" t="s">
        <v>11</v>
      </c>
      <c r="G119" s="4" t="str">
        <f>IF(F119="Payment / Credit","Payment",IF(E119&lt;0,"Income","Spend"))</f>
        <v>Spend</v>
      </c>
    </row>
    <row r="120" spans="1:7" ht="15" hidden="1" customHeight="1" x14ac:dyDescent="0.3">
      <c r="A120" s="2" t="s">
        <v>7</v>
      </c>
      <c r="B120" s="3">
        <v>44101</v>
      </c>
      <c r="C120" s="4">
        <v>2020</v>
      </c>
      <c r="D120" s="2" t="s">
        <v>70</v>
      </c>
      <c r="E120" s="5">
        <v>7.96</v>
      </c>
      <c r="F120" s="2" t="s">
        <v>17</v>
      </c>
      <c r="G120" s="4" t="str">
        <f>IF(F120="Payment / Credit","Payment",IF(E120&lt;0,"Income","Spend"))</f>
        <v>Spend</v>
      </c>
    </row>
    <row r="121" spans="1:7" ht="15" hidden="1" customHeight="1" x14ac:dyDescent="0.3">
      <c r="A121" s="2" t="s">
        <v>7</v>
      </c>
      <c r="B121" s="3">
        <v>44103</v>
      </c>
      <c r="C121" s="4">
        <v>2020</v>
      </c>
      <c r="D121" s="2" t="s">
        <v>57</v>
      </c>
      <c r="E121" s="5">
        <v>8.98</v>
      </c>
      <c r="F121" s="2" t="s">
        <v>17</v>
      </c>
      <c r="G121" s="4" t="str">
        <f>IF(F121="Payment / Credit","Payment",IF(E121&lt;0,"Income","Spend"))</f>
        <v>Spend</v>
      </c>
    </row>
    <row r="122" spans="1:7" ht="15" hidden="1" customHeight="1" x14ac:dyDescent="0.3">
      <c r="A122" s="2" t="s">
        <v>7</v>
      </c>
      <c r="B122" s="3">
        <v>44107</v>
      </c>
      <c r="C122" s="4">
        <v>2020</v>
      </c>
      <c r="D122" s="2" t="s">
        <v>69</v>
      </c>
      <c r="E122" s="5">
        <v>10.48</v>
      </c>
      <c r="F122" s="2" t="s">
        <v>9</v>
      </c>
      <c r="G122" s="4" t="str">
        <f>IF(F122="Payment / Credit","Payment",IF(E122&lt;0,"Income","Spend"))</f>
        <v>Spend</v>
      </c>
    </row>
    <row r="123" spans="1:7" ht="15" hidden="1" customHeight="1" x14ac:dyDescent="0.3">
      <c r="A123" s="2" t="s">
        <v>7</v>
      </c>
      <c r="B123" s="3">
        <v>44107</v>
      </c>
      <c r="C123" s="4">
        <v>2020</v>
      </c>
      <c r="D123" s="2" t="s">
        <v>69</v>
      </c>
      <c r="E123" s="5">
        <v>2.62</v>
      </c>
      <c r="F123" s="2" t="s">
        <v>9</v>
      </c>
      <c r="G123" s="4" t="str">
        <f>IF(F123="Payment / Credit","Payment",IF(E123&lt;0,"Income","Spend"))</f>
        <v>Spend</v>
      </c>
    </row>
    <row r="124" spans="1:7" ht="15" customHeight="1" x14ac:dyDescent="0.3">
      <c r="A124" s="2" t="s">
        <v>7</v>
      </c>
      <c r="B124" s="3">
        <v>44107</v>
      </c>
      <c r="C124" s="4">
        <v>2020</v>
      </c>
      <c r="D124" s="2" t="s">
        <v>71</v>
      </c>
      <c r="E124" s="5">
        <v>137.78</v>
      </c>
      <c r="F124" s="2" t="s">
        <v>41</v>
      </c>
      <c r="G124" s="4" t="str">
        <f>IF(F124="Payment / Credit","Payment",IF(E124&lt;0,"Income","Spend"))</f>
        <v>Spend</v>
      </c>
    </row>
    <row r="125" spans="1:7" ht="15" customHeight="1" x14ac:dyDescent="0.3">
      <c r="A125" s="2" t="s">
        <v>7</v>
      </c>
      <c r="B125" s="3">
        <v>44112</v>
      </c>
      <c r="C125" s="4">
        <v>2020</v>
      </c>
      <c r="D125" s="2" t="s">
        <v>54</v>
      </c>
      <c r="E125" s="5">
        <v>1368.37</v>
      </c>
      <c r="F125" s="2" t="s">
        <v>208</v>
      </c>
      <c r="G125" s="4" t="str">
        <f>IF(F125="Payment / Credit","Payment",IF(E125&lt;0,"Income","Spend"))</f>
        <v>Spend</v>
      </c>
    </row>
    <row r="126" spans="1:7" ht="15" hidden="1" customHeight="1" x14ac:dyDescent="0.3">
      <c r="A126" s="2" t="s">
        <v>7</v>
      </c>
      <c r="B126" s="3">
        <v>44112</v>
      </c>
      <c r="C126" s="4">
        <v>2020</v>
      </c>
      <c r="D126" s="2" t="s">
        <v>10</v>
      </c>
      <c r="E126" s="5">
        <v>4.12</v>
      </c>
      <c r="F126" s="2" t="s">
        <v>11</v>
      </c>
      <c r="G126" s="4" t="str">
        <f>IF(F126="Payment / Credit","Payment",IF(E126&lt;0,"Income","Spend"))</f>
        <v>Spend</v>
      </c>
    </row>
    <row r="127" spans="1:7" ht="15" hidden="1" customHeight="1" x14ac:dyDescent="0.3">
      <c r="A127" s="2" t="s">
        <v>7</v>
      </c>
      <c r="B127" s="3">
        <v>44113</v>
      </c>
      <c r="C127" s="4">
        <v>2020</v>
      </c>
      <c r="D127" s="2" t="s">
        <v>72</v>
      </c>
      <c r="E127" s="5">
        <v>4.4400000000000004</v>
      </c>
      <c r="F127" s="2" t="s">
        <v>17</v>
      </c>
      <c r="G127" s="4" t="str">
        <f>IF(F127="Payment / Credit","Payment",IF(E127&lt;0,"Income","Spend"))</f>
        <v>Spend</v>
      </c>
    </row>
    <row r="128" spans="1:7" ht="15" hidden="1" customHeight="1" x14ac:dyDescent="0.3">
      <c r="A128" s="2" t="s">
        <v>7</v>
      </c>
      <c r="B128" s="3">
        <v>44113</v>
      </c>
      <c r="C128" s="4">
        <v>2020</v>
      </c>
      <c r="D128" s="2" t="s">
        <v>73</v>
      </c>
      <c r="E128" s="5">
        <v>4.91</v>
      </c>
      <c r="F128" s="2" t="s">
        <v>17</v>
      </c>
      <c r="G128" s="4" t="str">
        <f>IF(F128="Payment / Credit","Payment",IF(E128&lt;0,"Income","Spend"))</f>
        <v>Spend</v>
      </c>
    </row>
    <row r="129" spans="1:7" ht="15" hidden="1" customHeight="1" x14ac:dyDescent="0.3">
      <c r="A129" s="2" t="s">
        <v>7</v>
      </c>
      <c r="B129" s="3">
        <v>44113</v>
      </c>
      <c r="C129" s="4">
        <v>2020</v>
      </c>
      <c r="D129" s="2" t="s">
        <v>10</v>
      </c>
      <c r="E129" s="5">
        <v>3.04</v>
      </c>
      <c r="F129" s="2" t="s">
        <v>11</v>
      </c>
      <c r="G129" s="4" t="str">
        <f>IF(F129="Payment / Credit","Payment",IF(E129&lt;0,"Income","Spend"))</f>
        <v>Spend</v>
      </c>
    </row>
    <row r="130" spans="1:7" ht="15" hidden="1" customHeight="1" x14ac:dyDescent="0.3">
      <c r="A130" s="2" t="s">
        <v>7</v>
      </c>
      <c r="B130" s="3">
        <v>44114</v>
      </c>
      <c r="C130" s="4">
        <v>2020</v>
      </c>
      <c r="D130" s="2" t="s">
        <v>74</v>
      </c>
      <c r="E130" s="5">
        <v>168.11</v>
      </c>
      <c r="F130" s="2" t="s">
        <v>43</v>
      </c>
      <c r="G130" s="4" t="str">
        <f>IF(F130="Payment / Credit","Payment",IF(E130&lt;0,"Income","Spend"))</f>
        <v>Spend</v>
      </c>
    </row>
    <row r="131" spans="1:7" ht="15" hidden="1" customHeight="1" x14ac:dyDescent="0.3">
      <c r="A131" s="2" t="s">
        <v>7</v>
      </c>
      <c r="B131" s="3">
        <v>44115</v>
      </c>
      <c r="C131" s="4">
        <v>2020</v>
      </c>
      <c r="D131" s="2" t="s">
        <v>75</v>
      </c>
      <c r="E131" s="5">
        <v>15.34</v>
      </c>
      <c r="F131" s="2" t="s">
        <v>9</v>
      </c>
      <c r="G131" s="4" t="str">
        <f>IF(F131="Payment / Credit","Payment",IF(E131&lt;0,"Income","Spend"))</f>
        <v>Spend</v>
      </c>
    </row>
    <row r="132" spans="1:7" ht="15" hidden="1" customHeight="1" x14ac:dyDescent="0.3">
      <c r="A132" s="2" t="s">
        <v>7</v>
      </c>
      <c r="B132" s="3">
        <v>44120</v>
      </c>
      <c r="C132" s="4">
        <v>2020</v>
      </c>
      <c r="D132" s="2" t="s">
        <v>10</v>
      </c>
      <c r="E132" s="5">
        <v>3.67</v>
      </c>
      <c r="F132" s="2" t="s">
        <v>11</v>
      </c>
      <c r="G132" s="4" t="str">
        <f>IF(F132="Payment / Credit","Payment",IF(E132&lt;0,"Income","Spend"))</f>
        <v>Spend</v>
      </c>
    </row>
    <row r="133" spans="1:7" ht="15" hidden="1" customHeight="1" x14ac:dyDescent="0.3">
      <c r="A133" s="2" t="s">
        <v>7</v>
      </c>
      <c r="B133" s="3">
        <v>44121</v>
      </c>
      <c r="C133" s="4">
        <v>2020</v>
      </c>
      <c r="D133" s="2" t="s">
        <v>73</v>
      </c>
      <c r="E133" s="5">
        <v>5.23</v>
      </c>
      <c r="F133" s="2" t="s">
        <v>17</v>
      </c>
      <c r="G133" s="4" t="str">
        <f>IF(F133="Payment / Credit","Payment",IF(E133&lt;0,"Income","Spend"))</f>
        <v>Spend</v>
      </c>
    </row>
    <row r="134" spans="1:7" ht="15" hidden="1" customHeight="1" x14ac:dyDescent="0.3">
      <c r="A134" s="2" t="s">
        <v>7</v>
      </c>
      <c r="B134" s="3">
        <v>44121</v>
      </c>
      <c r="C134" s="4">
        <v>2020</v>
      </c>
      <c r="D134" s="2" t="s">
        <v>35</v>
      </c>
      <c r="E134" s="5">
        <v>20.399999999999999</v>
      </c>
      <c r="F134" s="2" t="s">
        <v>9</v>
      </c>
      <c r="G134" s="4" t="str">
        <f>IF(F134="Payment / Credit","Payment",IF(E134&lt;0,"Income","Spend"))</f>
        <v>Spend</v>
      </c>
    </row>
    <row r="135" spans="1:7" ht="15" hidden="1" customHeight="1" x14ac:dyDescent="0.3">
      <c r="A135" s="2" t="s">
        <v>7</v>
      </c>
      <c r="B135" s="3">
        <v>44121</v>
      </c>
      <c r="C135" s="4">
        <v>2020</v>
      </c>
      <c r="D135" s="2" t="s">
        <v>76</v>
      </c>
      <c r="E135" s="5">
        <v>12</v>
      </c>
      <c r="F135" s="2" t="s">
        <v>17</v>
      </c>
      <c r="G135" s="4" t="str">
        <f>IF(F135="Payment / Credit","Payment",IF(E135&lt;0,"Income","Spend"))</f>
        <v>Spend</v>
      </c>
    </row>
    <row r="136" spans="1:7" ht="15" hidden="1" customHeight="1" x14ac:dyDescent="0.3">
      <c r="A136" s="2" t="s">
        <v>7</v>
      </c>
      <c r="B136" s="3">
        <v>44131</v>
      </c>
      <c r="C136" s="4">
        <v>2020</v>
      </c>
      <c r="D136" s="2" t="s">
        <v>10</v>
      </c>
      <c r="E136" s="5">
        <v>35.65</v>
      </c>
      <c r="F136" s="2" t="s">
        <v>11</v>
      </c>
      <c r="G136" s="4" t="str">
        <f>IF(F136="Payment / Credit","Payment",IF(E136&lt;0,"Income","Spend"))</f>
        <v>Spend</v>
      </c>
    </row>
    <row r="137" spans="1:7" ht="15" hidden="1" customHeight="1" x14ac:dyDescent="0.3">
      <c r="A137" s="2" t="s">
        <v>7</v>
      </c>
      <c r="B137" s="3">
        <v>44133</v>
      </c>
      <c r="C137" s="4">
        <v>2020</v>
      </c>
      <c r="D137" s="2" t="s">
        <v>69</v>
      </c>
      <c r="E137" s="5">
        <v>19.59</v>
      </c>
      <c r="F137" s="2" t="s">
        <v>9</v>
      </c>
      <c r="G137" s="4" t="str">
        <f>IF(F137="Payment / Credit","Payment",IF(E137&lt;0,"Income","Spend"))</f>
        <v>Spend</v>
      </c>
    </row>
    <row r="138" spans="1:7" ht="15" hidden="1" customHeight="1" x14ac:dyDescent="0.3">
      <c r="A138" s="2" t="s">
        <v>7</v>
      </c>
      <c r="B138" s="3">
        <v>44134</v>
      </c>
      <c r="C138" s="4">
        <v>2020</v>
      </c>
      <c r="D138" s="2" t="s">
        <v>57</v>
      </c>
      <c r="E138" s="5">
        <v>8.67</v>
      </c>
      <c r="F138" s="2" t="s">
        <v>17</v>
      </c>
      <c r="G138" s="4" t="str">
        <f>IF(F138="Payment / Credit","Payment",IF(E138&lt;0,"Income","Spend"))</f>
        <v>Spend</v>
      </c>
    </row>
    <row r="139" spans="1:7" ht="15" hidden="1" customHeight="1" x14ac:dyDescent="0.3">
      <c r="A139" s="2" t="s">
        <v>7</v>
      </c>
      <c r="B139" s="3">
        <v>44135</v>
      </c>
      <c r="C139" s="4">
        <v>2020</v>
      </c>
      <c r="D139" s="2" t="s">
        <v>77</v>
      </c>
      <c r="E139" s="5">
        <v>4.91</v>
      </c>
      <c r="F139" s="2" t="s">
        <v>43</v>
      </c>
      <c r="G139" s="4" t="str">
        <f>IF(F139="Payment / Credit","Payment",IF(E139&lt;0,"Income","Spend"))</f>
        <v>Spend</v>
      </c>
    </row>
    <row r="140" spans="1:7" ht="15" hidden="1" customHeight="1" x14ac:dyDescent="0.3">
      <c r="A140" s="2" t="s">
        <v>7</v>
      </c>
      <c r="B140" s="3">
        <v>44135</v>
      </c>
      <c r="C140" s="4">
        <v>2020</v>
      </c>
      <c r="D140" s="2" t="s">
        <v>77</v>
      </c>
      <c r="E140" s="5">
        <v>77.66</v>
      </c>
      <c r="F140" s="2" t="s">
        <v>43</v>
      </c>
      <c r="G140" s="4" t="str">
        <f>IF(F140="Payment / Credit","Payment",IF(E140&lt;0,"Income","Spend"))</f>
        <v>Spend</v>
      </c>
    </row>
    <row r="141" spans="1:7" ht="15" hidden="1" customHeight="1" x14ac:dyDescent="0.3">
      <c r="A141" s="2" t="s">
        <v>7</v>
      </c>
      <c r="B141" s="3">
        <v>44136</v>
      </c>
      <c r="C141" s="4">
        <v>2020</v>
      </c>
      <c r="D141" s="2" t="s">
        <v>78</v>
      </c>
      <c r="E141" s="5">
        <v>16.68</v>
      </c>
      <c r="F141" s="2" t="s">
        <v>17</v>
      </c>
      <c r="G141" s="4" t="str">
        <f>IF(F141="Payment / Credit","Payment",IF(E141&lt;0,"Income","Spend"))</f>
        <v>Spend</v>
      </c>
    </row>
    <row r="142" spans="1:7" ht="15" hidden="1" customHeight="1" x14ac:dyDescent="0.3">
      <c r="A142" s="2" t="s">
        <v>7</v>
      </c>
      <c r="B142" s="3">
        <v>44136</v>
      </c>
      <c r="C142" s="4">
        <v>2020</v>
      </c>
      <c r="D142" s="2" t="s">
        <v>79</v>
      </c>
      <c r="E142" s="5">
        <v>1.75</v>
      </c>
      <c r="F142" s="2" t="s">
        <v>11</v>
      </c>
      <c r="G142" s="4" t="str">
        <f>IF(F142="Payment / Credit","Payment",IF(E142&lt;0,"Income","Spend"))</f>
        <v>Spend</v>
      </c>
    </row>
    <row r="143" spans="1:7" ht="15" hidden="1" customHeight="1" x14ac:dyDescent="0.3">
      <c r="A143" s="2" t="s">
        <v>7</v>
      </c>
      <c r="B143" s="3">
        <v>44136</v>
      </c>
      <c r="C143" s="4">
        <v>2020</v>
      </c>
      <c r="D143" s="2" t="s">
        <v>80</v>
      </c>
      <c r="E143" s="5">
        <v>20.45</v>
      </c>
      <c r="F143" s="2" t="s">
        <v>9</v>
      </c>
      <c r="G143" s="4" t="str">
        <f>IF(F143="Payment / Credit","Payment",IF(E143&lt;0,"Income","Spend"))</f>
        <v>Spend</v>
      </c>
    </row>
    <row r="144" spans="1:7" ht="15" hidden="1" customHeight="1" x14ac:dyDescent="0.3">
      <c r="A144" s="2" t="s">
        <v>7</v>
      </c>
      <c r="B144" s="3">
        <v>44139</v>
      </c>
      <c r="C144" s="4">
        <v>2020</v>
      </c>
      <c r="D144" s="2" t="s">
        <v>81</v>
      </c>
      <c r="E144" s="5">
        <v>7.95</v>
      </c>
      <c r="F144" s="2" t="s">
        <v>17</v>
      </c>
      <c r="G144" s="4" t="str">
        <f>IF(F144="Payment / Credit","Payment",IF(E144&lt;0,"Income","Spend"))</f>
        <v>Spend</v>
      </c>
    </row>
    <row r="145" spans="1:7" ht="15" hidden="1" customHeight="1" x14ac:dyDescent="0.3">
      <c r="A145" s="2" t="s">
        <v>7</v>
      </c>
      <c r="B145" s="3">
        <v>44140</v>
      </c>
      <c r="C145" s="4">
        <v>2020</v>
      </c>
      <c r="D145" s="2" t="s">
        <v>82</v>
      </c>
      <c r="E145" s="5">
        <v>45.37</v>
      </c>
      <c r="F145" s="2" t="s">
        <v>13</v>
      </c>
      <c r="G145" s="4" t="str">
        <f>IF(F145="Payment / Credit","Payment",IF(E145&lt;0,"Income","Spend"))</f>
        <v>Spend</v>
      </c>
    </row>
    <row r="146" spans="1:7" ht="15" hidden="1" customHeight="1" x14ac:dyDescent="0.3">
      <c r="A146" s="2" t="s">
        <v>7</v>
      </c>
      <c r="B146" s="3">
        <v>44141</v>
      </c>
      <c r="C146" s="4">
        <v>2020</v>
      </c>
      <c r="D146" s="2" t="s">
        <v>35</v>
      </c>
      <c r="E146" s="5">
        <v>15.78</v>
      </c>
      <c r="F146" s="2" t="s">
        <v>9</v>
      </c>
      <c r="G146" s="4" t="str">
        <f>IF(F146="Payment / Credit","Payment",IF(E146&lt;0,"Income","Spend"))</f>
        <v>Spend</v>
      </c>
    </row>
    <row r="147" spans="1:7" ht="15" customHeight="1" x14ac:dyDescent="0.3">
      <c r="A147" s="2" t="s">
        <v>7</v>
      </c>
      <c r="B147" s="3">
        <v>44142</v>
      </c>
      <c r="C147" s="4">
        <v>2020</v>
      </c>
      <c r="D147" s="2" t="s">
        <v>83</v>
      </c>
      <c r="E147" s="5">
        <v>120</v>
      </c>
      <c r="F147" s="2" t="s">
        <v>210</v>
      </c>
      <c r="G147" s="4" t="str">
        <f>IF(F147="Payment / Credit","Payment",IF(E147&lt;0,"Income","Spend"))</f>
        <v>Spend</v>
      </c>
    </row>
    <row r="148" spans="1:7" ht="15" hidden="1" customHeight="1" x14ac:dyDescent="0.3">
      <c r="A148" s="2" t="s">
        <v>7</v>
      </c>
      <c r="B148" s="3">
        <v>44143</v>
      </c>
      <c r="C148" s="4">
        <v>2020</v>
      </c>
      <c r="D148" s="2" t="s">
        <v>60</v>
      </c>
      <c r="E148" s="5">
        <v>17.64</v>
      </c>
      <c r="F148" s="2" t="s">
        <v>13</v>
      </c>
      <c r="G148" s="4" t="str">
        <f>IF(F148="Payment / Credit","Payment",IF(E148&lt;0,"Income","Spend"))</f>
        <v>Spend</v>
      </c>
    </row>
    <row r="149" spans="1:7" ht="15" hidden="1" customHeight="1" x14ac:dyDescent="0.3">
      <c r="A149" s="2" t="s">
        <v>7</v>
      </c>
      <c r="B149" s="3">
        <v>44143</v>
      </c>
      <c r="C149" s="4">
        <v>2020</v>
      </c>
      <c r="D149" s="2" t="s">
        <v>35</v>
      </c>
      <c r="E149" s="5">
        <v>116.12</v>
      </c>
      <c r="F149" s="2" t="s">
        <v>9</v>
      </c>
      <c r="G149" s="4" t="str">
        <f>IF(F149="Payment / Credit","Payment",IF(E149&lt;0,"Income","Spend"))</f>
        <v>Spend</v>
      </c>
    </row>
    <row r="150" spans="1:7" ht="15" hidden="1" customHeight="1" x14ac:dyDescent="0.3">
      <c r="A150" s="2" t="s">
        <v>7</v>
      </c>
      <c r="B150" s="3">
        <v>44143</v>
      </c>
      <c r="C150" s="4">
        <v>2020</v>
      </c>
      <c r="D150" s="2" t="s">
        <v>60</v>
      </c>
      <c r="E150" s="5">
        <v>88.17</v>
      </c>
      <c r="F150" s="2" t="s">
        <v>13</v>
      </c>
      <c r="G150" s="4" t="str">
        <f>IF(F150="Payment / Credit","Payment",IF(E150&lt;0,"Income","Spend"))</f>
        <v>Spend</v>
      </c>
    </row>
    <row r="151" spans="1:7" ht="15" hidden="1" customHeight="1" x14ac:dyDescent="0.3">
      <c r="A151" s="2" t="s">
        <v>7</v>
      </c>
      <c r="B151" s="3">
        <v>44145</v>
      </c>
      <c r="C151" s="4">
        <v>2020</v>
      </c>
      <c r="D151" s="2" t="s">
        <v>27</v>
      </c>
      <c r="E151" s="5">
        <v>45.95</v>
      </c>
      <c r="F151" s="2" t="s">
        <v>9</v>
      </c>
      <c r="G151" s="4" t="str">
        <f>IF(F151="Payment / Credit","Payment",IF(E151&lt;0,"Income","Spend"))</f>
        <v>Spend</v>
      </c>
    </row>
    <row r="152" spans="1:7" ht="15" hidden="1" customHeight="1" x14ac:dyDescent="0.3">
      <c r="A152" s="2" t="s">
        <v>7</v>
      </c>
      <c r="B152" s="3">
        <v>44147</v>
      </c>
      <c r="C152" s="4">
        <v>2020</v>
      </c>
      <c r="D152" s="2" t="s">
        <v>46</v>
      </c>
      <c r="E152" s="5">
        <v>-1996.54</v>
      </c>
      <c r="F152" s="2" t="s">
        <v>47</v>
      </c>
      <c r="G152" s="4" t="str">
        <f>IF(F152="Payment / Credit","Payment",IF(E152&lt;0,"Income","Spend"))</f>
        <v>Payment</v>
      </c>
    </row>
    <row r="153" spans="1:7" ht="15" customHeight="1" x14ac:dyDescent="0.3">
      <c r="A153" s="2" t="s">
        <v>7</v>
      </c>
      <c r="B153" s="3">
        <v>44147</v>
      </c>
      <c r="C153" s="4">
        <v>2020</v>
      </c>
      <c r="D153" s="2" t="s">
        <v>83</v>
      </c>
      <c r="E153" s="5">
        <v>143.77000000000001</v>
      </c>
      <c r="F153" s="2" t="s">
        <v>210</v>
      </c>
      <c r="G153" s="4" t="str">
        <f>IF(F153="Payment / Credit","Payment",IF(E153&lt;0,"Income","Spend"))</f>
        <v>Spend</v>
      </c>
    </row>
    <row r="154" spans="1:7" ht="15" customHeight="1" x14ac:dyDescent="0.3">
      <c r="A154" s="2" t="s">
        <v>7</v>
      </c>
      <c r="B154" s="3">
        <v>44150</v>
      </c>
      <c r="C154" s="4">
        <v>2020</v>
      </c>
      <c r="D154" s="2" t="s">
        <v>84</v>
      </c>
      <c r="E154" s="5">
        <v>408</v>
      </c>
      <c r="F154" s="2" t="s">
        <v>212</v>
      </c>
      <c r="G154" s="4" t="str">
        <f>IF(F154="Payment / Credit","Payment",IF(E154&lt;0,"Income","Spend"))</f>
        <v>Spend</v>
      </c>
    </row>
    <row r="155" spans="1:7" ht="15" hidden="1" customHeight="1" x14ac:dyDescent="0.3">
      <c r="A155" s="2" t="s">
        <v>7</v>
      </c>
      <c r="B155" s="3">
        <v>44150</v>
      </c>
      <c r="C155" s="4">
        <v>2020</v>
      </c>
      <c r="D155" s="2" t="s">
        <v>85</v>
      </c>
      <c r="E155" s="5">
        <v>55.08</v>
      </c>
      <c r="F155" s="2" t="s">
        <v>13</v>
      </c>
      <c r="G155" s="4" t="str">
        <f>IF(F155="Payment / Credit","Payment",IF(E155&lt;0,"Income","Spend"))</f>
        <v>Spend</v>
      </c>
    </row>
    <row r="156" spans="1:7" ht="15" hidden="1" customHeight="1" x14ac:dyDescent="0.3">
      <c r="A156" s="2" t="s">
        <v>7</v>
      </c>
      <c r="B156" s="3">
        <v>44152</v>
      </c>
      <c r="C156" s="4">
        <v>2020</v>
      </c>
      <c r="D156" s="2" t="s">
        <v>86</v>
      </c>
      <c r="E156" s="5">
        <v>40.6</v>
      </c>
      <c r="F156" s="2" t="s">
        <v>13</v>
      </c>
      <c r="G156" s="4" t="str">
        <f>IF(F156="Payment / Credit","Payment",IF(E156&lt;0,"Income","Spend"))</f>
        <v>Spend</v>
      </c>
    </row>
    <row r="157" spans="1:7" ht="15" hidden="1" customHeight="1" x14ac:dyDescent="0.3">
      <c r="A157" s="2" t="s">
        <v>7</v>
      </c>
      <c r="B157" s="3">
        <v>44153</v>
      </c>
      <c r="C157" s="4">
        <v>2020</v>
      </c>
      <c r="D157" s="2" t="s">
        <v>35</v>
      </c>
      <c r="E157" s="5">
        <v>23.43</v>
      </c>
      <c r="F157" s="2" t="s">
        <v>9</v>
      </c>
      <c r="G157" s="4" t="str">
        <f>IF(F157="Payment / Credit","Payment",IF(E157&lt;0,"Income","Spend"))</f>
        <v>Spend</v>
      </c>
    </row>
    <row r="158" spans="1:7" ht="15" customHeight="1" x14ac:dyDescent="0.3">
      <c r="A158" s="2" t="s">
        <v>7</v>
      </c>
      <c r="B158" s="3">
        <v>44155</v>
      </c>
      <c r="C158" s="4">
        <v>2020</v>
      </c>
      <c r="D158" s="2" t="s">
        <v>87</v>
      </c>
      <c r="E158" s="5">
        <v>10</v>
      </c>
      <c r="F158" s="2" t="s">
        <v>211</v>
      </c>
      <c r="G158" s="4" t="str">
        <f>IF(F158="Payment / Credit","Payment",IF(E158&lt;0,"Income","Spend"))</f>
        <v>Spend</v>
      </c>
    </row>
    <row r="159" spans="1:7" ht="15" hidden="1" customHeight="1" x14ac:dyDescent="0.3">
      <c r="A159" s="2" t="s">
        <v>7</v>
      </c>
      <c r="B159" s="3">
        <v>44155</v>
      </c>
      <c r="C159" s="4">
        <v>2020</v>
      </c>
      <c r="D159" s="2" t="s">
        <v>82</v>
      </c>
      <c r="E159" s="5">
        <v>85.65</v>
      </c>
      <c r="F159" s="2" t="s">
        <v>13</v>
      </c>
      <c r="G159" s="4" t="str">
        <f>IF(F159="Payment / Credit","Payment",IF(E159&lt;0,"Income","Spend"))</f>
        <v>Spend</v>
      </c>
    </row>
    <row r="160" spans="1:7" ht="15" hidden="1" customHeight="1" x14ac:dyDescent="0.3">
      <c r="A160" s="2" t="s">
        <v>7</v>
      </c>
      <c r="B160" s="3">
        <v>44156</v>
      </c>
      <c r="C160" s="4">
        <v>2020</v>
      </c>
      <c r="D160" s="2" t="s">
        <v>88</v>
      </c>
      <c r="E160" s="5">
        <v>102.36</v>
      </c>
      <c r="F160" s="2" t="s">
        <v>17</v>
      </c>
      <c r="G160" s="4" t="str">
        <f>IF(F160="Payment / Credit","Payment",IF(E160&lt;0,"Income","Spend"))</f>
        <v>Spend</v>
      </c>
    </row>
    <row r="161" spans="1:7" ht="15" hidden="1" customHeight="1" x14ac:dyDescent="0.3">
      <c r="A161" s="2" t="s">
        <v>7</v>
      </c>
      <c r="B161" s="3">
        <v>44158</v>
      </c>
      <c r="C161" s="4">
        <v>2020</v>
      </c>
      <c r="D161" s="2" t="s">
        <v>89</v>
      </c>
      <c r="E161" s="5">
        <v>75.900000000000006</v>
      </c>
      <c r="F161" s="2" t="s">
        <v>13</v>
      </c>
      <c r="G161" s="4" t="str">
        <f>IF(F161="Payment / Credit","Payment",IF(E161&lt;0,"Income","Spend"))</f>
        <v>Spend</v>
      </c>
    </row>
    <row r="162" spans="1:7" ht="15" hidden="1" customHeight="1" x14ac:dyDescent="0.3">
      <c r="A162" s="2" t="s">
        <v>7</v>
      </c>
      <c r="B162" s="3">
        <v>44159</v>
      </c>
      <c r="C162" s="4">
        <v>2020</v>
      </c>
      <c r="D162" s="2" t="s">
        <v>90</v>
      </c>
      <c r="E162" s="5">
        <v>32.39</v>
      </c>
      <c r="F162" s="2" t="s">
        <v>13</v>
      </c>
      <c r="G162" s="4" t="str">
        <f>IF(F162="Payment / Credit","Payment",IF(E162&lt;0,"Income","Spend"))</f>
        <v>Spend</v>
      </c>
    </row>
    <row r="163" spans="1:7" ht="15" hidden="1" customHeight="1" x14ac:dyDescent="0.3">
      <c r="A163" s="2" t="s">
        <v>7</v>
      </c>
      <c r="B163" s="3">
        <v>44160</v>
      </c>
      <c r="C163" s="4">
        <v>2020</v>
      </c>
      <c r="D163" s="2" t="s">
        <v>27</v>
      </c>
      <c r="E163" s="5">
        <v>120</v>
      </c>
      <c r="F163" s="2" t="s">
        <v>9</v>
      </c>
      <c r="G163" s="4" t="str">
        <f>IF(F163="Payment / Credit","Payment",IF(E163&lt;0,"Income","Spend"))</f>
        <v>Spend</v>
      </c>
    </row>
    <row r="164" spans="1:7" ht="15" hidden="1" customHeight="1" x14ac:dyDescent="0.3">
      <c r="A164" s="2" t="s">
        <v>7</v>
      </c>
      <c r="B164" s="3">
        <v>44160</v>
      </c>
      <c r="C164" s="4">
        <v>2020</v>
      </c>
      <c r="D164" s="2" t="s">
        <v>52</v>
      </c>
      <c r="E164" s="5">
        <v>33.31</v>
      </c>
      <c r="F164" s="2" t="s">
        <v>9</v>
      </c>
      <c r="G164" s="4" t="str">
        <f>IF(F164="Payment / Credit","Payment",IF(E164&lt;0,"Income","Spend"))</f>
        <v>Spend</v>
      </c>
    </row>
    <row r="165" spans="1:7" ht="15" hidden="1" customHeight="1" x14ac:dyDescent="0.3">
      <c r="A165" s="2" t="s">
        <v>7</v>
      </c>
      <c r="B165" s="3">
        <v>44163</v>
      </c>
      <c r="C165" s="4">
        <v>2020</v>
      </c>
      <c r="D165" s="2" t="s">
        <v>91</v>
      </c>
      <c r="E165" s="5">
        <v>226.9</v>
      </c>
      <c r="F165" s="2" t="s">
        <v>13</v>
      </c>
      <c r="G165" s="4" t="str">
        <f>IF(F165="Payment / Credit","Payment",IF(E165&lt;0,"Income","Spend"))</f>
        <v>Spend</v>
      </c>
    </row>
    <row r="166" spans="1:7" ht="15" hidden="1" customHeight="1" x14ac:dyDescent="0.3">
      <c r="A166" s="2" t="s">
        <v>7</v>
      </c>
      <c r="B166" s="3">
        <v>44163</v>
      </c>
      <c r="C166" s="4">
        <v>2020</v>
      </c>
      <c r="D166" s="2" t="s">
        <v>92</v>
      </c>
      <c r="E166" s="5">
        <v>33.630000000000003</v>
      </c>
      <c r="F166" s="2" t="s">
        <v>13</v>
      </c>
      <c r="G166" s="4" t="str">
        <f>IF(F166="Payment / Credit","Payment",IF(E166&lt;0,"Income","Spend"))</f>
        <v>Spend</v>
      </c>
    </row>
    <row r="167" spans="1:7" ht="15" hidden="1" customHeight="1" x14ac:dyDescent="0.3">
      <c r="A167" s="2" t="s">
        <v>7</v>
      </c>
      <c r="B167" s="3">
        <v>44163</v>
      </c>
      <c r="C167" s="4">
        <v>2020</v>
      </c>
      <c r="D167" s="2" t="s">
        <v>93</v>
      </c>
      <c r="E167" s="5">
        <v>10.35</v>
      </c>
      <c r="F167" s="2" t="s">
        <v>13</v>
      </c>
      <c r="G167" s="4" t="str">
        <f>IF(F167="Payment / Credit","Payment",IF(E167&lt;0,"Income","Spend"))</f>
        <v>Spend</v>
      </c>
    </row>
    <row r="168" spans="1:7" ht="15" hidden="1" customHeight="1" x14ac:dyDescent="0.3">
      <c r="A168" s="2" t="s">
        <v>7</v>
      </c>
      <c r="B168" s="3">
        <v>44163</v>
      </c>
      <c r="C168" s="4">
        <v>2020</v>
      </c>
      <c r="D168" s="2" t="s">
        <v>94</v>
      </c>
      <c r="E168" s="5">
        <v>17.95</v>
      </c>
      <c r="F168" s="2" t="s">
        <v>13</v>
      </c>
      <c r="G168" s="4" t="str">
        <f>IF(F168="Payment / Credit","Payment",IF(E168&lt;0,"Income","Spend"))</f>
        <v>Spend</v>
      </c>
    </row>
    <row r="169" spans="1:7" ht="15" hidden="1" customHeight="1" x14ac:dyDescent="0.3">
      <c r="A169" s="2" t="s">
        <v>7</v>
      </c>
      <c r="B169" s="3">
        <v>44163</v>
      </c>
      <c r="C169" s="4">
        <v>2020</v>
      </c>
      <c r="D169" s="2" t="s">
        <v>63</v>
      </c>
      <c r="E169" s="5">
        <v>262.27</v>
      </c>
      <c r="F169" s="2" t="s">
        <v>9</v>
      </c>
      <c r="G169" s="4" t="str">
        <f>IF(F169="Payment / Credit","Payment",IF(E169&lt;0,"Income","Spend"))</f>
        <v>Spend</v>
      </c>
    </row>
    <row r="170" spans="1:7" ht="15" hidden="1" customHeight="1" x14ac:dyDescent="0.3">
      <c r="A170" s="2" t="s">
        <v>7</v>
      </c>
      <c r="B170" s="3">
        <v>44163</v>
      </c>
      <c r="C170" s="4">
        <v>2020</v>
      </c>
      <c r="D170" s="2" t="s">
        <v>51</v>
      </c>
      <c r="E170" s="5">
        <v>13.72</v>
      </c>
      <c r="F170" s="2" t="s">
        <v>9</v>
      </c>
      <c r="G170" s="4" t="str">
        <f>IF(F170="Payment / Credit","Payment",IF(E170&lt;0,"Income","Spend"))</f>
        <v>Spend</v>
      </c>
    </row>
    <row r="171" spans="1:7" ht="15" hidden="1" customHeight="1" x14ac:dyDescent="0.3">
      <c r="A171" s="2" t="s">
        <v>7</v>
      </c>
      <c r="B171" s="3">
        <v>44164</v>
      </c>
      <c r="C171" s="4">
        <v>2020</v>
      </c>
      <c r="D171" s="2" t="s">
        <v>95</v>
      </c>
      <c r="E171" s="5">
        <v>21.56</v>
      </c>
      <c r="F171" s="2" t="s">
        <v>13</v>
      </c>
      <c r="G171" s="4" t="str">
        <f>IF(F171="Payment / Credit","Payment",IF(E171&lt;0,"Income","Spend"))</f>
        <v>Spend</v>
      </c>
    </row>
    <row r="172" spans="1:7" ht="15" hidden="1" customHeight="1" x14ac:dyDescent="0.3">
      <c r="A172" s="2" t="s">
        <v>7</v>
      </c>
      <c r="B172" s="3">
        <v>44164</v>
      </c>
      <c r="C172" s="4">
        <v>2020</v>
      </c>
      <c r="D172" s="2" t="s">
        <v>96</v>
      </c>
      <c r="E172" s="5">
        <v>13.95</v>
      </c>
      <c r="F172" s="2" t="s">
        <v>13</v>
      </c>
      <c r="G172" s="4" t="str">
        <f>IF(F172="Payment / Credit","Payment",IF(E172&lt;0,"Income","Spend"))</f>
        <v>Spend</v>
      </c>
    </row>
    <row r="173" spans="1:7" ht="15" hidden="1" customHeight="1" x14ac:dyDescent="0.3">
      <c r="A173" s="2" t="s">
        <v>7</v>
      </c>
      <c r="B173" s="3">
        <v>44164</v>
      </c>
      <c r="C173" s="4">
        <v>2020</v>
      </c>
      <c r="D173" s="2" t="s">
        <v>97</v>
      </c>
      <c r="E173" s="5">
        <v>3.05</v>
      </c>
      <c r="F173" s="2" t="s">
        <v>9</v>
      </c>
      <c r="G173" s="4" t="str">
        <f>IF(F173="Payment / Credit","Payment",IF(E173&lt;0,"Income","Spend"))</f>
        <v>Spend</v>
      </c>
    </row>
    <row r="174" spans="1:7" ht="15" hidden="1" customHeight="1" x14ac:dyDescent="0.3">
      <c r="A174" s="2" t="s">
        <v>7</v>
      </c>
      <c r="B174" s="3">
        <v>44164</v>
      </c>
      <c r="C174" s="4">
        <v>2020</v>
      </c>
      <c r="D174" s="2" t="s">
        <v>10</v>
      </c>
      <c r="E174" s="5">
        <v>4.12</v>
      </c>
      <c r="F174" s="2" t="s">
        <v>11</v>
      </c>
      <c r="G174" s="4" t="str">
        <f>IF(F174="Payment / Credit","Payment",IF(E174&lt;0,"Income","Spend"))</f>
        <v>Spend</v>
      </c>
    </row>
    <row r="175" spans="1:7" ht="15" hidden="1" customHeight="1" x14ac:dyDescent="0.3">
      <c r="A175" s="2" t="s">
        <v>7</v>
      </c>
      <c r="B175" s="3">
        <v>44165</v>
      </c>
      <c r="C175" s="4">
        <v>2020</v>
      </c>
      <c r="D175" s="2" t="s">
        <v>10</v>
      </c>
      <c r="E175" s="5">
        <v>6.85</v>
      </c>
      <c r="F175" s="2" t="s">
        <v>11</v>
      </c>
      <c r="G175" s="4" t="str">
        <f>IF(F175="Payment / Credit","Payment",IF(E175&lt;0,"Income","Spend"))</f>
        <v>Spend</v>
      </c>
    </row>
    <row r="176" spans="1:7" ht="15" hidden="1" customHeight="1" x14ac:dyDescent="0.3">
      <c r="A176" s="2" t="s">
        <v>7</v>
      </c>
      <c r="B176" s="3">
        <v>44166</v>
      </c>
      <c r="C176" s="4">
        <v>2020</v>
      </c>
      <c r="D176" s="2" t="s">
        <v>73</v>
      </c>
      <c r="E176" s="5">
        <v>4.3600000000000003</v>
      </c>
      <c r="F176" s="2" t="s">
        <v>17</v>
      </c>
      <c r="G176" s="4" t="str">
        <f>IF(F176="Payment / Credit","Payment",IF(E176&lt;0,"Income","Spend"))</f>
        <v>Spend</v>
      </c>
    </row>
    <row r="177" spans="1:7" ht="15" hidden="1" customHeight="1" x14ac:dyDescent="0.3">
      <c r="A177" s="2" t="s">
        <v>7</v>
      </c>
      <c r="B177" s="3">
        <v>44166</v>
      </c>
      <c r="C177" s="4">
        <v>2020</v>
      </c>
      <c r="D177" s="2" t="s">
        <v>98</v>
      </c>
      <c r="E177" s="5">
        <v>20.2</v>
      </c>
      <c r="F177" s="2" t="s">
        <v>13</v>
      </c>
      <c r="G177" s="4" t="str">
        <f>IF(F177="Payment / Credit","Payment",IF(E177&lt;0,"Income","Spend"))</f>
        <v>Spend</v>
      </c>
    </row>
    <row r="178" spans="1:7" ht="15" hidden="1" customHeight="1" x14ac:dyDescent="0.3">
      <c r="A178" s="2" t="s">
        <v>7</v>
      </c>
      <c r="B178" s="3">
        <v>44167</v>
      </c>
      <c r="C178" s="4">
        <v>2020</v>
      </c>
      <c r="D178" s="2" t="s">
        <v>99</v>
      </c>
      <c r="E178" s="5">
        <v>19.11</v>
      </c>
      <c r="F178" s="2" t="s">
        <v>13</v>
      </c>
      <c r="G178" s="4" t="str">
        <f>IF(F178="Payment / Credit","Payment",IF(E178&lt;0,"Income","Spend"))</f>
        <v>Spend</v>
      </c>
    </row>
    <row r="179" spans="1:7" ht="15" hidden="1" customHeight="1" x14ac:dyDescent="0.3">
      <c r="A179" s="2" t="s">
        <v>7</v>
      </c>
      <c r="B179" s="3">
        <v>44168</v>
      </c>
      <c r="C179" s="4">
        <v>2020</v>
      </c>
      <c r="D179" s="2" t="s">
        <v>100</v>
      </c>
      <c r="E179" s="5">
        <v>127.49</v>
      </c>
      <c r="F179" s="2" t="s">
        <v>13</v>
      </c>
      <c r="G179" s="4" t="str">
        <f>IF(F179="Payment / Credit","Payment",IF(E179&lt;0,"Income","Spend"))</f>
        <v>Spend</v>
      </c>
    </row>
    <row r="180" spans="1:7" ht="15" hidden="1" customHeight="1" x14ac:dyDescent="0.3">
      <c r="A180" s="2" t="s">
        <v>7</v>
      </c>
      <c r="B180" s="3">
        <v>44169</v>
      </c>
      <c r="C180" s="4">
        <v>2020</v>
      </c>
      <c r="D180" s="2" t="s">
        <v>101</v>
      </c>
      <c r="E180" s="5">
        <v>3.71</v>
      </c>
      <c r="F180" s="2" t="s">
        <v>17</v>
      </c>
      <c r="G180" s="4" t="str">
        <f>IF(F180="Payment / Credit","Payment",IF(E180&lt;0,"Income","Spend"))</f>
        <v>Spend</v>
      </c>
    </row>
    <row r="181" spans="1:7" ht="15" hidden="1" customHeight="1" x14ac:dyDescent="0.3">
      <c r="A181" s="2" t="s">
        <v>7</v>
      </c>
      <c r="B181" s="3">
        <v>44170</v>
      </c>
      <c r="C181" s="4">
        <v>2020</v>
      </c>
      <c r="D181" s="2" t="s">
        <v>102</v>
      </c>
      <c r="E181" s="5">
        <v>-2599.64</v>
      </c>
      <c r="F181" s="2" t="s">
        <v>47</v>
      </c>
      <c r="G181" s="4" t="str">
        <f>IF(F181="Payment / Credit","Payment",IF(E181&lt;0,"Income","Spend"))</f>
        <v>Payment</v>
      </c>
    </row>
    <row r="182" spans="1:7" ht="15" hidden="1" customHeight="1" x14ac:dyDescent="0.3">
      <c r="A182" s="2" t="s">
        <v>7</v>
      </c>
      <c r="B182" s="3">
        <v>44170</v>
      </c>
      <c r="C182" s="4">
        <v>2020</v>
      </c>
      <c r="D182" s="2" t="s">
        <v>103</v>
      </c>
      <c r="E182" s="5">
        <v>8.1</v>
      </c>
      <c r="F182" s="2" t="s">
        <v>9</v>
      </c>
      <c r="G182" s="4" t="str">
        <f>IF(F182="Payment / Credit","Payment",IF(E182&lt;0,"Income","Spend"))</f>
        <v>Spend</v>
      </c>
    </row>
    <row r="183" spans="1:7" ht="15" customHeight="1" x14ac:dyDescent="0.3">
      <c r="A183" s="2" t="s">
        <v>7</v>
      </c>
      <c r="B183" s="3">
        <v>44170</v>
      </c>
      <c r="C183" s="4">
        <v>2020</v>
      </c>
      <c r="D183" s="2" t="s">
        <v>104</v>
      </c>
      <c r="E183" s="5">
        <v>30</v>
      </c>
      <c r="F183" s="2" t="s">
        <v>209</v>
      </c>
      <c r="G183" s="4" t="str">
        <f>IF(F183="Payment / Credit","Payment",IF(E183&lt;0,"Income","Spend"))</f>
        <v>Spend</v>
      </c>
    </row>
    <row r="184" spans="1:7" ht="15" hidden="1" customHeight="1" x14ac:dyDescent="0.3">
      <c r="A184" s="2" t="s">
        <v>7</v>
      </c>
      <c r="B184" s="3">
        <v>44172</v>
      </c>
      <c r="C184" s="4">
        <v>2020</v>
      </c>
      <c r="D184" s="2" t="s">
        <v>27</v>
      </c>
      <c r="E184" s="5">
        <v>62.64</v>
      </c>
      <c r="F184" s="2" t="s">
        <v>9</v>
      </c>
      <c r="G184" s="4" t="str">
        <f>IF(F184="Payment / Credit","Payment",IF(E184&lt;0,"Income","Spend"))</f>
        <v>Spend</v>
      </c>
    </row>
    <row r="185" spans="1:7" ht="15" hidden="1" customHeight="1" x14ac:dyDescent="0.3">
      <c r="A185" s="2" t="s">
        <v>7</v>
      </c>
      <c r="B185" s="3">
        <v>44172</v>
      </c>
      <c r="C185" s="4">
        <v>2020</v>
      </c>
      <c r="D185" s="2" t="s">
        <v>39</v>
      </c>
      <c r="E185" s="5">
        <v>29.94</v>
      </c>
      <c r="F185" s="2" t="s">
        <v>11</v>
      </c>
      <c r="G185" s="4" t="str">
        <f>IF(F185="Payment / Credit","Payment",IF(E185&lt;0,"Income","Spend"))</f>
        <v>Spend</v>
      </c>
    </row>
    <row r="186" spans="1:7" ht="15" hidden="1" customHeight="1" x14ac:dyDescent="0.3">
      <c r="A186" s="2" t="s">
        <v>7</v>
      </c>
      <c r="B186" s="3">
        <v>44174</v>
      </c>
      <c r="C186" s="4">
        <v>2020</v>
      </c>
      <c r="D186" s="2" t="s">
        <v>97</v>
      </c>
      <c r="E186" s="5">
        <v>4.87</v>
      </c>
      <c r="F186" s="2" t="s">
        <v>9</v>
      </c>
      <c r="G186" s="4" t="str">
        <f>IF(F186="Payment / Credit","Payment",IF(E186&lt;0,"Income","Spend"))</f>
        <v>Spend</v>
      </c>
    </row>
    <row r="187" spans="1:7" ht="15" hidden="1" customHeight="1" x14ac:dyDescent="0.3">
      <c r="A187" s="2" t="s">
        <v>7</v>
      </c>
      <c r="B187" s="3">
        <v>44181</v>
      </c>
      <c r="C187" s="4">
        <v>2020</v>
      </c>
      <c r="D187" s="2" t="s">
        <v>105</v>
      </c>
      <c r="E187" s="5">
        <v>9.5399999999999991</v>
      </c>
      <c r="F187" s="2" t="s">
        <v>17</v>
      </c>
      <c r="G187" s="4" t="str">
        <f>IF(F187="Payment / Credit","Payment",IF(E187&lt;0,"Income","Spend"))</f>
        <v>Spend</v>
      </c>
    </row>
    <row r="188" spans="1:7" ht="15" hidden="1" customHeight="1" x14ac:dyDescent="0.3">
      <c r="A188" s="2" t="s">
        <v>7</v>
      </c>
      <c r="B188" s="3">
        <v>44183</v>
      </c>
      <c r="C188" s="4">
        <v>2020</v>
      </c>
      <c r="D188" s="2" t="s">
        <v>10</v>
      </c>
      <c r="E188" s="5">
        <v>6.07</v>
      </c>
      <c r="F188" s="2" t="s">
        <v>11</v>
      </c>
      <c r="G188" s="4" t="str">
        <f>IF(F188="Payment / Credit","Payment",IF(E188&lt;0,"Income","Spend"))</f>
        <v>Spend</v>
      </c>
    </row>
    <row r="189" spans="1:7" ht="15" hidden="1" customHeight="1" x14ac:dyDescent="0.3">
      <c r="A189" s="2" t="s">
        <v>7</v>
      </c>
      <c r="B189" s="3">
        <v>44183</v>
      </c>
      <c r="C189" s="4">
        <v>2020</v>
      </c>
      <c r="D189" s="2" t="s">
        <v>57</v>
      </c>
      <c r="E189" s="5">
        <v>7.55</v>
      </c>
      <c r="F189" s="2" t="s">
        <v>17</v>
      </c>
      <c r="G189" s="4" t="str">
        <f>IF(F189="Payment / Credit","Payment",IF(E189&lt;0,"Income","Spend"))</f>
        <v>Spend</v>
      </c>
    </row>
    <row r="190" spans="1:7" ht="15" hidden="1" customHeight="1" x14ac:dyDescent="0.3">
      <c r="A190" s="2" t="s">
        <v>7</v>
      </c>
      <c r="B190" s="3">
        <v>44184</v>
      </c>
      <c r="C190" s="4">
        <v>2020</v>
      </c>
      <c r="D190" s="2" t="s">
        <v>44</v>
      </c>
      <c r="E190" s="5">
        <v>7.12</v>
      </c>
      <c r="F190" s="2" t="s">
        <v>17</v>
      </c>
      <c r="G190" s="4" t="str">
        <f>IF(F190="Payment / Credit","Payment",IF(E190&lt;0,"Income","Spend"))</f>
        <v>Spend</v>
      </c>
    </row>
    <row r="191" spans="1:7" ht="15" hidden="1" customHeight="1" x14ac:dyDescent="0.3">
      <c r="A191" s="2" t="s">
        <v>7</v>
      </c>
      <c r="B191" s="3">
        <v>44184</v>
      </c>
      <c r="C191" s="4">
        <v>2020</v>
      </c>
      <c r="D191" s="2" t="s">
        <v>69</v>
      </c>
      <c r="E191" s="5">
        <v>44.9</v>
      </c>
      <c r="F191" s="2" t="s">
        <v>9</v>
      </c>
      <c r="G191" s="4" t="str">
        <f>IF(F191="Payment / Credit","Payment",IF(E191&lt;0,"Income","Spend"))</f>
        <v>Spend</v>
      </c>
    </row>
    <row r="192" spans="1:7" ht="15" hidden="1" customHeight="1" x14ac:dyDescent="0.3">
      <c r="A192" s="2" t="s">
        <v>7</v>
      </c>
      <c r="B192" s="3">
        <v>44184</v>
      </c>
      <c r="C192" s="4">
        <v>2020</v>
      </c>
      <c r="D192" s="2" t="s">
        <v>69</v>
      </c>
      <c r="E192" s="5">
        <v>3.33</v>
      </c>
      <c r="F192" s="2" t="s">
        <v>9</v>
      </c>
      <c r="G192" s="4" t="str">
        <f>IF(F192="Payment / Credit","Payment",IF(E192&lt;0,"Income","Spend"))</f>
        <v>Spend</v>
      </c>
    </row>
    <row r="193" spans="1:7" ht="15" hidden="1" customHeight="1" x14ac:dyDescent="0.3">
      <c r="A193" s="2" t="s">
        <v>7</v>
      </c>
      <c r="B193" s="3">
        <v>44185</v>
      </c>
      <c r="C193" s="4">
        <v>2020</v>
      </c>
      <c r="D193" s="2" t="s">
        <v>10</v>
      </c>
      <c r="E193" s="5">
        <v>0.53</v>
      </c>
      <c r="F193" s="2" t="s">
        <v>11</v>
      </c>
      <c r="G193" s="4" t="str">
        <f>IF(F193="Payment / Credit","Payment",IF(E193&lt;0,"Income","Spend"))</f>
        <v>Spend</v>
      </c>
    </row>
    <row r="194" spans="1:7" ht="15" hidden="1" customHeight="1" x14ac:dyDescent="0.3">
      <c r="A194" s="2" t="s">
        <v>7</v>
      </c>
      <c r="B194" s="3">
        <v>44186</v>
      </c>
      <c r="C194" s="4">
        <v>2020</v>
      </c>
      <c r="D194" s="2" t="s">
        <v>66</v>
      </c>
      <c r="E194" s="5">
        <v>11.97</v>
      </c>
      <c r="F194" s="2" t="s">
        <v>13</v>
      </c>
      <c r="G194" s="4" t="str">
        <f>IF(F194="Payment / Credit","Payment",IF(E194&lt;0,"Income","Spend"))</f>
        <v>Spend</v>
      </c>
    </row>
    <row r="195" spans="1:7" ht="15" hidden="1" customHeight="1" x14ac:dyDescent="0.3">
      <c r="A195" s="2" t="s">
        <v>7</v>
      </c>
      <c r="B195" s="3">
        <v>44187</v>
      </c>
      <c r="C195" s="4">
        <v>2020</v>
      </c>
      <c r="D195" s="2" t="s">
        <v>10</v>
      </c>
      <c r="E195" s="5">
        <v>3.24</v>
      </c>
      <c r="F195" s="2" t="s">
        <v>11</v>
      </c>
      <c r="G195" s="4" t="str">
        <f>IF(F195="Payment / Credit","Payment",IF(E195&lt;0,"Income","Spend"))</f>
        <v>Spend</v>
      </c>
    </row>
    <row r="196" spans="1:7" ht="15" hidden="1" customHeight="1" x14ac:dyDescent="0.3">
      <c r="A196" s="2" t="s">
        <v>7</v>
      </c>
      <c r="B196" s="3">
        <v>44188</v>
      </c>
      <c r="C196" s="4">
        <v>2020</v>
      </c>
      <c r="D196" s="2" t="s">
        <v>106</v>
      </c>
      <c r="E196" s="5">
        <v>18</v>
      </c>
      <c r="F196" s="2" t="s">
        <v>9</v>
      </c>
      <c r="G196" s="4" t="str">
        <f>IF(F196="Payment / Credit","Payment",IF(E196&lt;0,"Income","Spend"))</f>
        <v>Spend</v>
      </c>
    </row>
    <row r="197" spans="1:7" ht="15" hidden="1" customHeight="1" x14ac:dyDescent="0.3">
      <c r="A197" s="2" t="s">
        <v>7</v>
      </c>
      <c r="B197" s="3">
        <v>44188</v>
      </c>
      <c r="C197" s="4">
        <v>2020</v>
      </c>
      <c r="D197" s="2" t="s">
        <v>10</v>
      </c>
      <c r="E197" s="5">
        <v>1.07</v>
      </c>
      <c r="F197" s="2" t="s">
        <v>11</v>
      </c>
      <c r="G197" s="4" t="str">
        <f>IF(F197="Payment / Credit","Payment",IF(E197&lt;0,"Income","Spend"))</f>
        <v>Spend</v>
      </c>
    </row>
    <row r="198" spans="1:7" ht="15" hidden="1" customHeight="1" x14ac:dyDescent="0.3">
      <c r="A198" s="2" t="s">
        <v>7</v>
      </c>
      <c r="B198" s="3">
        <v>44189</v>
      </c>
      <c r="C198" s="4">
        <v>2020</v>
      </c>
      <c r="D198" s="2" t="s">
        <v>51</v>
      </c>
      <c r="E198" s="5">
        <v>10.199999999999999</v>
      </c>
      <c r="F198" s="2" t="s">
        <v>9</v>
      </c>
      <c r="G198" s="4" t="str">
        <f>IF(F198="Payment / Credit","Payment",IF(E198&lt;0,"Income","Spend"))</f>
        <v>Spend</v>
      </c>
    </row>
    <row r="199" spans="1:7" ht="15" hidden="1" customHeight="1" x14ac:dyDescent="0.3">
      <c r="A199" s="2" t="s">
        <v>7</v>
      </c>
      <c r="B199" s="3">
        <v>44189</v>
      </c>
      <c r="C199" s="4">
        <v>2020</v>
      </c>
      <c r="D199" s="2" t="s">
        <v>69</v>
      </c>
      <c r="E199" s="5">
        <v>17.96</v>
      </c>
      <c r="F199" s="2" t="s">
        <v>9</v>
      </c>
      <c r="G199" s="4" t="str">
        <f>IF(F199="Payment / Credit","Payment",IF(E199&lt;0,"Income","Spend"))</f>
        <v>Spend</v>
      </c>
    </row>
    <row r="200" spans="1:7" ht="15" hidden="1" customHeight="1" x14ac:dyDescent="0.3">
      <c r="A200" s="2" t="s">
        <v>7</v>
      </c>
      <c r="B200" s="3">
        <v>44189</v>
      </c>
      <c r="C200" s="4">
        <v>2020</v>
      </c>
      <c r="D200" s="2" t="s">
        <v>10</v>
      </c>
      <c r="E200" s="5">
        <v>3.25</v>
      </c>
      <c r="F200" s="2" t="s">
        <v>11</v>
      </c>
      <c r="G200" s="4" t="str">
        <f>IF(F200="Payment / Credit","Payment",IF(E200&lt;0,"Income","Spend"))</f>
        <v>Spend</v>
      </c>
    </row>
    <row r="201" spans="1:7" ht="15" hidden="1" customHeight="1" x14ac:dyDescent="0.3">
      <c r="A201" s="2" t="s">
        <v>7</v>
      </c>
      <c r="B201" s="3">
        <v>44190</v>
      </c>
      <c r="C201" s="4">
        <v>2020</v>
      </c>
      <c r="D201" s="2" t="s">
        <v>10</v>
      </c>
      <c r="E201" s="5">
        <v>2.17</v>
      </c>
      <c r="F201" s="2" t="s">
        <v>11</v>
      </c>
      <c r="G201" s="4" t="str">
        <f>IF(F201="Payment / Credit","Payment",IF(E201&lt;0,"Income","Spend"))</f>
        <v>Spend</v>
      </c>
    </row>
    <row r="202" spans="1:7" ht="15" hidden="1" customHeight="1" x14ac:dyDescent="0.3">
      <c r="A202" s="2" t="s">
        <v>7</v>
      </c>
      <c r="B202" s="3">
        <v>44191</v>
      </c>
      <c r="C202" s="4">
        <v>2020</v>
      </c>
      <c r="D202" s="2" t="s">
        <v>10</v>
      </c>
      <c r="E202" s="5">
        <v>1.07</v>
      </c>
      <c r="F202" s="2" t="s">
        <v>11</v>
      </c>
      <c r="G202" s="4" t="str">
        <f>IF(F202="Payment / Credit","Payment",IF(E202&lt;0,"Income","Spend"))</f>
        <v>Spend</v>
      </c>
    </row>
    <row r="203" spans="1:7" ht="15" hidden="1" customHeight="1" x14ac:dyDescent="0.3">
      <c r="A203" s="2" t="s">
        <v>7</v>
      </c>
      <c r="B203" s="3">
        <v>44192</v>
      </c>
      <c r="C203" s="4">
        <v>2020</v>
      </c>
      <c r="D203" s="2" t="s">
        <v>107</v>
      </c>
      <c r="E203" s="5">
        <v>10.54</v>
      </c>
      <c r="F203" s="2" t="s">
        <v>17</v>
      </c>
      <c r="G203" s="4" t="str">
        <f>IF(F203="Payment / Credit","Payment",IF(E203&lt;0,"Income","Spend"))</f>
        <v>Spend</v>
      </c>
    </row>
    <row r="204" spans="1:7" ht="15" hidden="1" customHeight="1" x14ac:dyDescent="0.3">
      <c r="A204" s="2" t="s">
        <v>7</v>
      </c>
      <c r="B204" s="3">
        <v>44192</v>
      </c>
      <c r="C204" s="4">
        <v>2020</v>
      </c>
      <c r="D204" s="2" t="s">
        <v>60</v>
      </c>
      <c r="E204" s="5">
        <v>3.3</v>
      </c>
      <c r="F204" s="2" t="s">
        <v>13</v>
      </c>
      <c r="G204" s="4" t="str">
        <f>IF(F204="Payment / Credit","Payment",IF(E204&lt;0,"Income","Spend"))</f>
        <v>Spend</v>
      </c>
    </row>
    <row r="205" spans="1:7" ht="15" hidden="1" customHeight="1" x14ac:dyDescent="0.3">
      <c r="A205" s="2" t="s">
        <v>7</v>
      </c>
      <c r="B205" s="3">
        <v>44192</v>
      </c>
      <c r="C205" s="4">
        <v>2020</v>
      </c>
      <c r="D205" s="2" t="s">
        <v>35</v>
      </c>
      <c r="E205" s="5">
        <v>14.23</v>
      </c>
      <c r="F205" s="2" t="s">
        <v>9</v>
      </c>
      <c r="G205" s="4" t="str">
        <f>IF(F205="Payment / Credit","Payment",IF(E205&lt;0,"Income","Spend"))</f>
        <v>Spend</v>
      </c>
    </row>
    <row r="206" spans="1:7" ht="15" hidden="1" customHeight="1" x14ac:dyDescent="0.3">
      <c r="A206" s="2" t="s">
        <v>7</v>
      </c>
      <c r="B206" s="3">
        <v>44195</v>
      </c>
      <c r="C206" s="4">
        <v>2020</v>
      </c>
      <c r="D206" s="2" t="s">
        <v>78</v>
      </c>
      <c r="E206" s="5">
        <v>9.98</v>
      </c>
      <c r="F206" s="2" t="s">
        <v>17</v>
      </c>
      <c r="G206" s="4" t="str">
        <f>IF(F206="Payment / Credit","Payment",IF(E206&lt;0,"Income","Spend"))</f>
        <v>Spend</v>
      </c>
    </row>
    <row r="207" spans="1:7" ht="15" hidden="1" customHeight="1" x14ac:dyDescent="0.3">
      <c r="A207" s="2" t="s">
        <v>7</v>
      </c>
      <c r="B207" s="3">
        <v>44197</v>
      </c>
      <c r="C207" s="4">
        <v>2021</v>
      </c>
      <c r="D207" s="2" t="s">
        <v>108</v>
      </c>
      <c r="E207" s="5">
        <v>30.85</v>
      </c>
      <c r="F207" s="2" t="s">
        <v>13</v>
      </c>
      <c r="G207" s="4" t="str">
        <f>IF(F207="Payment / Credit","Payment",IF(E207&lt;0,"Income","Spend"))</f>
        <v>Spend</v>
      </c>
    </row>
    <row r="208" spans="1:7" ht="15" hidden="1" customHeight="1" x14ac:dyDescent="0.3">
      <c r="A208" s="2" t="s">
        <v>7</v>
      </c>
      <c r="B208" s="3">
        <v>44197</v>
      </c>
      <c r="C208" s="4">
        <v>2021</v>
      </c>
      <c r="D208" s="2" t="s">
        <v>10</v>
      </c>
      <c r="E208" s="5">
        <v>2.17</v>
      </c>
      <c r="F208" s="2" t="s">
        <v>11</v>
      </c>
      <c r="G208" s="4" t="str">
        <f>IF(F208="Payment / Credit","Payment",IF(E208&lt;0,"Income","Spend"))</f>
        <v>Spend</v>
      </c>
    </row>
    <row r="209" spans="1:7" ht="15" hidden="1" customHeight="1" x14ac:dyDescent="0.3">
      <c r="A209" s="2" t="s">
        <v>7</v>
      </c>
      <c r="B209" s="3">
        <v>44197</v>
      </c>
      <c r="C209" s="4">
        <v>2021</v>
      </c>
      <c r="D209" s="2" t="s">
        <v>109</v>
      </c>
      <c r="E209" s="5">
        <v>16.23</v>
      </c>
      <c r="F209" s="2" t="s">
        <v>13</v>
      </c>
      <c r="G209" s="4" t="str">
        <f>IF(F209="Payment / Credit","Payment",IF(E209&lt;0,"Income","Spend"))</f>
        <v>Spend</v>
      </c>
    </row>
    <row r="210" spans="1:7" ht="15" customHeight="1" x14ac:dyDescent="0.3">
      <c r="A210" s="2" t="s">
        <v>7</v>
      </c>
      <c r="B210" s="3">
        <v>44197</v>
      </c>
      <c r="C210" s="4">
        <v>2021</v>
      </c>
      <c r="D210" s="2" t="s">
        <v>110</v>
      </c>
      <c r="E210" s="5">
        <v>19</v>
      </c>
      <c r="F210" s="2" t="s">
        <v>41</v>
      </c>
      <c r="G210" s="4" t="str">
        <f>IF(F210="Payment / Credit","Payment",IF(E210&lt;0,"Income","Spend"))</f>
        <v>Spend</v>
      </c>
    </row>
    <row r="211" spans="1:7" ht="15" hidden="1" customHeight="1" x14ac:dyDescent="0.3">
      <c r="A211" s="2" t="s">
        <v>7</v>
      </c>
      <c r="B211" s="3">
        <v>44199</v>
      </c>
      <c r="C211" s="4">
        <v>2021</v>
      </c>
      <c r="D211" s="2" t="s">
        <v>81</v>
      </c>
      <c r="E211" s="5">
        <v>8.07</v>
      </c>
      <c r="F211" s="2" t="s">
        <v>17</v>
      </c>
      <c r="G211" s="4" t="str">
        <f>IF(F211="Payment / Credit","Payment",IF(E211&lt;0,"Income","Spend"))</f>
        <v>Spend</v>
      </c>
    </row>
    <row r="212" spans="1:7" ht="15" hidden="1" customHeight="1" x14ac:dyDescent="0.3">
      <c r="A212" s="2" t="s">
        <v>7</v>
      </c>
      <c r="B212" s="3">
        <v>44199</v>
      </c>
      <c r="C212" s="4">
        <v>2021</v>
      </c>
      <c r="D212" s="2" t="s">
        <v>111</v>
      </c>
      <c r="E212" s="5">
        <v>4.87</v>
      </c>
      <c r="F212" s="2" t="s">
        <v>17</v>
      </c>
      <c r="G212" s="4" t="str">
        <f>IF(F212="Payment / Credit","Payment",IF(E212&lt;0,"Income","Spend"))</f>
        <v>Spend</v>
      </c>
    </row>
    <row r="213" spans="1:7" ht="15" hidden="1" customHeight="1" x14ac:dyDescent="0.3">
      <c r="A213" s="2" t="s">
        <v>7</v>
      </c>
      <c r="B213" s="3">
        <v>44201</v>
      </c>
      <c r="C213" s="4">
        <v>2021</v>
      </c>
      <c r="D213" s="2" t="s">
        <v>10</v>
      </c>
      <c r="E213" s="5">
        <v>2.16</v>
      </c>
      <c r="F213" s="2" t="s">
        <v>11</v>
      </c>
      <c r="G213" s="4" t="str">
        <f>IF(F213="Payment / Credit","Payment",IF(E213&lt;0,"Income","Spend"))</f>
        <v>Spend</v>
      </c>
    </row>
    <row r="214" spans="1:7" ht="15" hidden="1" customHeight="1" x14ac:dyDescent="0.3">
      <c r="A214" s="2" t="s">
        <v>7</v>
      </c>
      <c r="B214" s="3">
        <v>44202</v>
      </c>
      <c r="C214" s="4">
        <v>2021</v>
      </c>
      <c r="D214" s="2" t="s">
        <v>73</v>
      </c>
      <c r="E214" s="5">
        <v>4.3600000000000003</v>
      </c>
      <c r="F214" s="2" t="s">
        <v>17</v>
      </c>
      <c r="G214" s="4" t="str">
        <f>IF(F214="Payment / Credit","Payment",IF(E214&lt;0,"Income","Spend"))</f>
        <v>Spend</v>
      </c>
    </row>
    <row r="215" spans="1:7" ht="15" hidden="1" customHeight="1" x14ac:dyDescent="0.3">
      <c r="A215" s="2" t="s">
        <v>7</v>
      </c>
      <c r="B215" s="3">
        <v>44202</v>
      </c>
      <c r="C215" s="4">
        <v>2021</v>
      </c>
      <c r="D215" s="2" t="s">
        <v>35</v>
      </c>
      <c r="E215" s="5">
        <v>13.66</v>
      </c>
      <c r="F215" s="2" t="s">
        <v>9</v>
      </c>
      <c r="G215" s="4" t="str">
        <f>IF(F215="Payment / Credit","Payment",IF(E215&lt;0,"Income","Spend"))</f>
        <v>Spend</v>
      </c>
    </row>
    <row r="216" spans="1:7" ht="15" hidden="1" customHeight="1" x14ac:dyDescent="0.3">
      <c r="A216" s="2" t="s">
        <v>7</v>
      </c>
      <c r="B216" s="3">
        <v>44202</v>
      </c>
      <c r="C216" s="4">
        <v>2021</v>
      </c>
      <c r="D216" s="2" t="s">
        <v>69</v>
      </c>
      <c r="E216" s="5">
        <v>14.12</v>
      </c>
      <c r="F216" s="2" t="s">
        <v>9</v>
      </c>
      <c r="G216" s="4" t="str">
        <f>IF(F216="Payment / Credit","Payment",IF(E216&lt;0,"Income","Spend"))</f>
        <v>Spend</v>
      </c>
    </row>
    <row r="217" spans="1:7" ht="15" hidden="1" customHeight="1" x14ac:dyDescent="0.3">
      <c r="A217" s="2" t="s">
        <v>7</v>
      </c>
      <c r="B217" s="3">
        <v>44203</v>
      </c>
      <c r="C217" s="4">
        <v>2021</v>
      </c>
      <c r="D217" s="2" t="s">
        <v>112</v>
      </c>
      <c r="E217" s="5">
        <v>9.09</v>
      </c>
      <c r="F217" s="2" t="s">
        <v>17</v>
      </c>
      <c r="G217" s="4" t="str">
        <f>IF(F217="Payment / Credit","Payment",IF(E217&lt;0,"Income","Spend"))</f>
        <v>Spend</v>
      </c>
    </row>
    <row r="218" spans="1:7" ht="15" hidden="1" customHeight="1" x14ac:dyDescent="0.3">
      <c r="A218" s="2" t="s">
        <v>7</v>
      </c>
      <c r="B218" s="3">
        <v>44203</v>
      </c>
      <c r="C218" s="4">
        <v>2021</v>
      </c>
      <c r="D218" s="2" t="s">
        <v>57</v>
      </c>
      <c r="E218" s="5">
        <v>5.56</v>
      </c>
      <c r="F218" s="2" t="s">
        <v>17</v>
      </c>
      <c r="G218" s="4" t="str">
        <f>IF(F218="Payment / Credit","Payment",IF(E218&lt;0,"Income","Spend"))</f>
        <v>Spend</v>
      </c>
    </row>
    <row r="219" spans="1:7" ht="15" hidden="1" customHeight="1" x14ac:dyDescent="0.3">
      <c r="A219" s="2" t="s">
        <v>7</v>
      </c>
      <c r="B219" s="3">
        <v>44204</v>
      </c>
      <c r="C219" s="4">
        <v>2021</v>
      </c>
      <c r="D219" s="2" t="s">
        <v>10</v>
      </c>
      <c r="E219" s="5">
        <v>5.54</v>
      </c>
      <c r="F219" s="2" t="s">
        <v>11</v>
      </c>
      <c r="G219" s="4" t="str">
        <f>IF(F219="Payment / Credit","Payment",IF(E219&lt;0,"Income","Spend"))</f>
        <v>Spend</v>
      </c>
    </row>
    <row r="220" spans="1:7" ht="15" hidden="1" customHeight="1" x14ac:dyDescent="0.3">
      <c r="A220" s="2" t="s">
        <v>7</v>
      </c>
      <c r="B220" s="3">
        <v>44208</v>
      </c>
      <c r="C220" s="4">
        <v>2021</v>
      </c>
      <c r="D220" s="2" t="s">
        <v>46</v>
      </c>
      <c r="E220" s="5">
        <v>-139.26</v>
      </c>
      <c r="F220" s="2" t="s">
        <v>47</v>
      </c>
      <c r="G220" s="4" t="str">
        <f>IF(F220="Payment / Credit","Payment",IF(E220&lt;0,"Income","Spend"))</f>
        <v>Payment</v>
      </c>
    </row>
    <row r="221" spans="1:7" ht="15" hidden="1" customHeight="1" x14ac:dyDescent="0.3">
      <c r="A221" s="2" t="s">
        <v>7</v>
      </c>
      <c r="B221" s="3">
        <v>44211</v>
      </c>
      <c r="C221" s="4">
        <v>2021</v>
      </c>
      <c r="D221" s="2" t="s">
        <v>10</v>
      </c>
      <c r="E221" s="5">
        <v>3.18</v>
      </c>
      <c r="F221" s="2" t="s">
        <v>11</v>
      </c>
      <c r="G221" s="4" t="str">
        <f>IF(F221="Payment / Credit","Payment",IF(E221&lt;0,"Income","Spend"))</f>
        <v>Spend</v>
      </c>
    </row>
    <row r="222" spans="1:7" ht="15" hidden="1" customHeight="1" x14ac:dyDescent="0.3">
      <c r="A222" s="2" t="s">
        <v>7</v>
      </c>
      <c r="B222" s="3">
        <v>44212</v>
      </c>
      <c r="C222" s="4">
        <v>2021</v>
      </c>
      <c r="D222" s="2" t="s">
        <v>51</v>
      </c>
      <c r="E222" s="5">
        <v>12.71</v>
      </c>
      <c r="F222" s="2" t="s">
        <v>9</v>
      </c>
      <c r="G222" s="4" t="str">
        <f>IF(F222="Payment / Credit","Payment",IF(E222&lt;0,"Income","Spend"))</f>
        <v>Spend</v>
      </c>
    </row>
    <row r="223" spans="1:7" ht="15" hidden="1" customHeight="1" x14ac:dyDescent="0.3">
      <c r="A223" s="2" t="s">
        <v>7</v>
      </c>
      <c r="B223" s="3">
        <v>44217</v>
      </c>
      <c r="C223" s="4">
        <v>2021</v>
      </c>
      <c r="D223" s="2" t="s">
        <v>69</v>
      </c>
      <c r="E223" s="5">
        <v>26.87</v>
      </c>
      <c r="F223" s="2" t="s">
        <v>9</v>
      </c>
      <c r="G223" s="4" t="str">
        <f>IF(F223="Payment / Credit","Payment",IF(E223&lt;0,"Income","Spend"))</f>
        <v>Spend</v>
      </c>
    </row>
    <row r="224" spans="1:7" ht="15" hidden="1" customHeight="1" x14ac:dyDescent="0.3">
      <c r="A224" s="2" t="s">
        <v>7</v>
      </c>
      <c r="B224" s="3">
        <v>44223</v>
      </c>
      <c r="C224" s="4">
        <v>2021</v>
      </c>
      <c r="D224" s="2" t="s">
        <v>81</v>
      </c>
      <c r="E224" s="5">
        <v>10.29</v>
      </c>
      <c r="F224" s="2" t="s">
        <v>17</v>
      </c>
      <c r="G224" s="4" t="str">
        <f>IF(F224="Payment / Credit","Payment",IF(E224&lt;0,"Income","Spend"))</f>
        <v>Spend</v>
      </c>
    </row>
    <row r="225" spans="1:7" ht="15" hidden="1" customHeight="1" x14ac:dyDescent="0.3">
      <c r="A225" s="2" t="s">
        <v>7</v>
      </c>
      <c r="B225" s="3">
        <v>44237</v>
      </c>
      <c r="C225" s="4">
        <v>2021</v>
      </c>
      <c r="D225" s="2" t="s">
        <v>35</v>
      </c>
      <c r="E225" s="5">
        <v>16.600000000000001</v>
      </c>
      <c r="F225" s="2" t="s">
        <v>9</v>
      </c>
      <c r="G225" s="4" t="str">
        <f>IF(F225="Payment / Credit","Payment",IF(E225&lt;0,"Income","Spend"))</f>
        <v>Spend</v>
      </c>
    </row>
    <row r="226" spans="1:7" ht="15" hidden="1" customHeight="1" x14ac:dyDescent="0.3">
      <c r="A226" s="2" t="s">
        <v>7</v>
      </c>
      <c r="B226" s="3">
        <v>44239</v>
      </c>
      <c r="C226" s="4">
        <v>2021</v>
      </c>
      <c r="D226" s="2" t="s">
        <v>46</v>
      </c>
      <c r="E226" s="5">
        <v>-321.7</v>
      </c>
      <c r="F226" s="2" t="s">
        <v>47</v>
      </c>
      <c r="G226" s="4" t="str">
        <f>IF(F226="Payment / Credit","Payment",IF(E226&lt;0,"Income","Spend"))</f>
        <v>Payment</v>
      </c>
    </row>
    <row r="227" spans="1:7" ht="15" hidden="1" customHeight="1" x14ac:dyDescent="0.3">
      <c r="A227" s="2" t="s">
        <v>7</v>
      </c>
      <c r="B227" s="3">
        <v>44240</v>
      </c>
      <c r="C227" s="4">
        <v>2021</v>
      </c>
      <c r="D227" s="2" t="s">
        <v>113</v>
      </c>
      <c r="E227" s="5">
        <v>4.7</v>
      </c>
      <c r="F227" s="2" t="s">
        <v>9</v>
      </c>
      <c r="G227" s="4" t="str">
        <f>IF(F227="Payment / Credit","Payment",IF(E227&lt;0,"Income","Spend"))</f>
        <v>Spend</v>
      </c>
    </row>
    <row r="228" spans="1:7" ht="15" hidden="1" customHeight="1" x14ac:dyDescent="0.3">
      <c r="A228" s="2" t="s">
        <v>7</v>
      </c>
      <c r="B228" s="3">
        <v>44240</v>
      </c>
      <c r="C228" s="4">
        <v>2021</v>
      </c>
      <c r="D228" s="2" t="s">
        <v>114</v>
      </c>
      <c r="E228" s="5">
        <v>132.16999999999999</v>
      </c>
      <c r="F228" s="2" t="s">
        <v>17</v>
      </c>
      <c r="G228" s="4" t="str">
        <f>IF(F228="Payment / Credit","Payment",IF(E228&lt;0,"Income","Spend"))</f>
        <v>Spend</v>
      </c>
    </row>
    <row r="229" spans="1:7" ht="15" hidden="1" customHeight="1" x14ac:dyDescent="0.3">
      <c r="A229" s="2" t="s">
        <v>7</v>
      </c>
      <c r="B229" s="3">
        <v>44240</v>
      </c>
      <c r="C229" s="4">
        <v>2021</v>
      </c>
      <c r="D229" s="2" t="s">
        <v>115</v>
      </c>
      <c r="E229" s="5">
        <v>2.0499999999999998</v>
      </c>
      <c r="F229" s="2" t="s">
        <v>9</v>
      </c>
      <c r="G229" s="4" t="str">
        <f>IF(F229="Payment / Credit","Payment",IF(E229&lt;0,"Income","Spend"))</f>
        <v>Spend</v>
      </c>
    </row>
    <row r="230" spans="1:7" ht="15" hidden="1" customHeight="1" x14ac:dyDescent="0.3">
      <c r="A230" s="2" t="s">
        <v>7</v>
      </c>
      <c r="B230" s="3">
        <v>44244</v>
      </c>
      <c r="C230" s="4">
        <v>2021</v>
      </c>
      <c r="D230" s="2" t="s">
        <v>116</v>
      </c>
      <c r="E230" s="5">
        <v>1.45</v>
      </c>
      <c r="F230" s="2" t="s">
        <v>17</v>
      </c>
      <c r="G230" s="4" t="str">
        <f>IF(F230="Payment / Credit","Payment",IF(E230&lt;0,"Income","Spend"))</f>
        <v>Spend</v>
      </c>
    </row>
    <row r="231" spans="1:7" ht="15" hidden="1" customHeight="1" x14ac:dyDescent="0.3">
      <c r="A231" s="2" t="s">
        <v>7</v>
      </c>
      <c r="B231" s="3">
        <v>44244</v>
      </c>
      <c r="C231" s="4">
        <v>2021</v>
      </c>
      <c r="D231" s="2" t="s">
        <v>60</v>
      </c>
      <c r="E231" s="5">
        <v>3.05</v>
      </c>
      <c r="F231" s="2" t="s">
        <v>13</v>
      </c>
      <c r="G231" s="4" t="str">
        <f>IF(F231="Payment / Credit","Payment",IF(E231&lt;0,"Income","Spend"))</f>
        <v>Spend</v>
      </c>
    </row>
    <row r="232" spans="1:7" ht="15" hidden="1" customHeight="1" x14ac:dyDescent="0.3">
      <c r="A232" s="2" t="s">
        <v>7</v>
      </c>
      <c r="B232" s="3">
        <v>44244</v>
      </c>
      <c r="C232" s="4">
        <v>2021</v>
      </c>
      <c r="D232" s="2" t="s">
        <v>117</v>
      </c>
      <c r="E232" s="5">
        <v>59.89</v>
      </c>
      <c r="F232" s="2" t="s">
        <v>17</v>
      </c>
      <c r="G232" s="4" t="str">
        <f>IF(F232="Payment / Credit","Payment",IF(E232&lt;0,"Income","Spend"))</f>
        <v>Spend</v>
      </c>
    </row>
    <row r="233" spans="1:7" ht="15" hidden="1" customHeight="1" x14ac:dyDescent="0.3">
      <c r="A233" s="2" t="s">
        <v>7</v>
      </c>
      <c r="B233" s="3">
        <v>44245</v>
      </c>
      <c r="C233" s="4">
        <v>2021</v>
      </c>
      <c r="D233" s="2" t="s">
        <v>118</v>
      </c>
      <c r="E233" s="5">
        <v>3</v>
      </c>
      <c r="F233" s="2" t="s">
        <v>34</v>
      </c>
      <c r="G233" s="4" t="str">
        <f>IF(F233="Payment / Credit","Payment",IF(E233&lt;0,"Income","Spend"))</f>
        <v>Spend</v>
      </c>
    </row>
    <row r="234" spans="1:7" ht="15" hidden="1" customHeight="1" x14ac:dyDescent="0.3">
      <c r="A234" s="2" t="s">
        <v>7</v>
      </c>
      <c r="B234" s="3">
        <v>44245</v>
      </c>
      <c r="C234" s="4">
        <v>2021</v>
      </c>
      <c r="D234" s="2" t="s">
        <v>10</v>
      </c>
      <c r="E234" s="5">
        <v>5.42</v>
      </c>
      <c r="F234" s="2" t="s">
        <v>11</v>
      </c>
      <c r="G234" s="4" t="str">
        <f>IF(F234="Payment / Credit","Payment",IF(E234&lt;0,"Income","Spend"))</f>
        <v>Spend</v>
      </c>
    </row>
    <row r="235" spans="1:7" ht="15" hidden="1" customHeight="1" x14ac:dyDescent="0.3">
      <c r="A235" s="2" t="s">
        <v>7</v>
      </c>
      <c r="B235" s="3">
        <v>44246</v>
      </c>
      <c r="C235" s="4">
        <v>2021</v>
      </c>
      <c r="D235" s="2" t="s">
        <v>57</v>
      </c>
      <c r="E235" s="5">
        <v>10.220000000000001</v>
      </c>
      <c r="F235" s="2" t="s">
        <v>17</v>
      </c>
      <c r="G235" s="4" t="str">
        <f>IF(F235="Payment / Credit","Payment",IF(E235&lt;0,"Income","Spend"))</f>
        <v>Spend</v>
      </c>
    </row>
    <row r="236" spans="1:7" ht="15" hidden="1" customHeight="1" x14ac:dyDescent="0.3">
      <c r="A236" s="2" t="s">
        <v>7</v>
      </c>
      <c r="B236" s="3">
        <v>44247</v>
      </c>
      <c r="C236" s="4">
        <v>2021</v>
      </c>
      <c r="D236" s="2" t="s">
        <v>51</v>
      </c>
      <c r="E236" s="5">
        <v>15.41</v>
      </c>
      <c r="F236" s="2" t="s">
        <v>9</v>
      </c>
      <c r="G236" s="4" t="str">
        <f>IF(F236="Payment / Credit","Payment",IF(E236&lt;0,"Income","Spend"))</f>
        <v>Spend</v>
      </c>
    </row>
    <row r="237" spans="1:7" ht="15" hidden="1" customHeight="1" x14ac:dyDescent="0.3">
      <c r="A237" s="2" t="s">
        <v>7</v>
      </c>
      <c r="B237" s="3">
        <v>44248</v>
      </c>
      <c r="C237" s="4">
        <v>2021</v>
      </c>
      <c r="D237" s="2" t="s">
        <v>102</v>
      </c>
      <c r="E237" s="5">
        <v>-272.95999999999998</v>
      </c>
      <c r="F237" s="2" t="s">
        <v>47</v>
      </c>
      <c r="G237" s="4" t="str">
        <f>IF(F237="Payment / Credit","Payment",IF(E237&lt;0,"Income","Spend"))</f>
        <v>Payment</v>
      </c>
    </row>
    <row r="238" spans="1:7" ht="15" hidden="1" customHeight="1" x14ac:dyDescent="0.3">
      <c r="A238" s="2" t="s">
        <v>7</v>
      </c>
      <c r="B238" s="3">
        <v>44248</v>
      </c>
      <c r="C238" s="4">
        <v>2021</v>
      </c>
      <c r="D238" s="2" t="s">
        <v>117</v>
      </c>
      <c r="E238" s="5">
        <v>32.17</v>
      </c>
      <c r="F238" s="2" t="s">
        <v>17</v>
      </c>
      <c r="G238" s="4" t="str">
        <f>IF(F238="Payment / Credit","Payment",IF(E238&lt;0,"Income","Spend"))</f>
        <v>Spend</v>
      </c>
    </row>
    <row r="239" spans="1:7" ht="15" hidden="1" customHeight="1" x14ac:dyDescent="0.3">
      <c r="A239" s="2" t="s">
        <v>7</v>
      </c>
      <c r="B239" s="3">
        <v>44252</v>
      </c>
      <c r="C239" s="4">
        <v>2021</v>
      </c>
      <c r="D239" s="2" t="s">
        <v>42</v>
      </c>
      <c r="E239" s="5">
        <v>70.66</v>
      </c>
      <c r="F239" s="2" t="s">
        <v>43</v>
      </c>
      <c r="G239" s="4" t="str">
        <f>IF(F239="Payment / Credit","Payment",IF(E239&lt;0,"Income","Spend"))</f>
        <v>Spend</v>
      </c>
    </row>
    <row r="240" spans="1:7" ht="15" hidden="1" customHeight="1" x14ac:dyDescent="0.3">
      <c r="A240" s="2" t="s">
        <v>7</v>
      </c>
      <c r="B240" s="3">
        <v>44252</v>
      </c>
      <c r="C240" s="4">
        <v>2021</v>
      </c>
      <c r="D240" s="2" t="s">
        <v>8</v>
      </c>
      <c r="E240" s="5">
        <v>44.15</v>
      </c>
      <c r="F240" s="2" t="s">
        <v>9</v>
      </c>
      <c r="G240" s="4" t="str">
        <f>IF(F240="Payment / Credit","Payment",IF(E240&lt;0,"Income","Spend"))</f>
        <v>Spend</v>
      </c>
    </row>
    <row r="241" spans="1:7" ht="15" hidden="1" customHeight="1" x14ac:dyDescent="0.3">
      <c r="A241" s="2" t="s">
        <v>7</v>
      </c>
      <c r="B241" s="3">
        <v>44252</v>
      </c>
      <c r="C241" s="4">
        <v>2021</v>
      </c>
      <c r="D241" s="2" t="s">
        <v>57</v>
      </c>
      <c r="E241" s="5">
        <v>7.55</v>
      </c>
      <c r="F241" s="2" t="s">
        <v>17</v>
      </c>
      <c r="G241" s="4" t="str">
        <f>IF(F241="Payment / Credit","Payment",IF(E241&lt;0,"Income","Spend"))</f>
        <v>Spend</v>
      </c>
    </row>
    <row r="242" spans="1:7" ht="15" hidden="1" customHeight="1" x14ac:dyDescent="0.3">
      <c r="A242" s="2" t="s">
        <v>7</v>
      </c>
      <c r="B242" s="3">
        <v>44255</v>
      </c>
      <c r="C242" s="4">
        <v>2021</v>
      </c>
      <c r="D242" s="2" t="s">
        <v>117</v>
      </c>
      <c r="E242" s="5">
        <v>16.64</v>
      </c>
      <c r="F242" s="2" t="s">
        <v>17</v>
      </c>
      <c r="G242" s="4" t="str">
        <f>IF(F242="Payment / Credit","Payment",IF(E242&lt;0,"Income","Spend"))</f>
        <v>Spend</v>
      </c>
    </row>
    <row r="243" spans="1:7" ht="15" hidden="1" customHeight="1" x14ac:dyDescent="0.3">
      <c r="A243" s="2" t="s">
        <v>7</v>
      </c>
      <c r="B243" s="3">
        <v>44255</v>
      </c>
      <c r="C243" s="4">
        <v>2021</v>
      </c>
      <c r="D243" s="2" t="s">
        <v>27</v>
      </c>
      <c r="E243" s="5">
        <v>93.66</v>
      </c>
      <c r="F243" s="2" t="s">
        <v>9</v>
      </c>
      <c r="G243" s="4" t="str">
        <f>IF(F243="Payment / Credit","Payment",IF(E243&lt;0,"Income","Spend"))</f>
        <v>Spend</v>
      </c>
    </row>
    <row r="244" spans="1:7" ht="15" hidden="1" customHeight="1" x14ac:dyDescent="0.3">
      <c r="A244" s="2" t="s">
        <v>7</v>
      </c>
      <c r="B244" s="3">
        <v>44259</v>
      </c>
      <c r="C244" s="4">
        <v>2021</v>
      </c>
      <c r="D244" s="2" t="s">
        <v>35</v>
      </c>
      <c r="E244" s="5">
        <v>40.93</v>
      </c>
      <c r="F244" s="2" t="s">
        <v>9</v>
      </c>
      <c r="G244" s="4" t="str">
        <f>IF(F244="Payment / Credit","Payment",IF(E244&lt;0,"Income","Spend"))</f>
        <v>Spend</v>
      </c>
    </row>
    <row r="245" spans="1:7" ht="15" hidden="1" customHeight="1" x14ac:dyDescent="0.3">
      <c r="A245" s="2" t="s">
        <v>7</v>
      </c>
      <c r="B245" s="3">
        <v>44259</v>
      </c>
      <c r="C245" s="4">
        <v>2021</v>
      </c>
      <c r="D245" s="2" t="s">
        <v>119</v>
      </c>
      <c r="E245" s="5">
        <v>12.45</v>
      </c>
      <c r="F245" s="2" t="s">
        <v>17</v>
      </c>
      <c r="G245" s="4" t="str">
        <f>IF(F245="Payment / Credit","Payment",IF(E245&lt;0,"Income","Spend"))</f>
        <v>Spend</v>
      </c>
    </row>
    <row r="246" spans="1:7" ht="15" hidden="1" customHeight="1" x14ac:dyDescent="0.3">
      <c r="A246" s="2" t="s">
        <v>7</v>
      </c>
      <c r="B246" s="3">
        <v>44261</v>
      </c>
      <c r="C246" s="4">
        <v>2021</v>
      </c>
      <c r="D246" s="2" t="s">
        <v>120</v>
      </c>
      <c r="E246" s="5">
        <v>2.3199999999999998</v>
      </c>
      <c r="F246" s="2" t="s">
        <v>17</v>
      </c>
      <c r="G246" s="4" t="str">
        <f>IF(F246="Payment / Credit","Payment",IF(E246&lt;0,"Income","Spend"))</f>
        <v>Spend</v>
      </c>
    </row>
    <row r="247" spans="1:7" ht="15" hidden="1" customHeight="1" x14ac:dyDescent="0.3">
      <c r="A247" s="2" t="s">
        <v>7</v>
      </c>
      <c r="B247" s="3">
        <v>44261</v>
      </c>
      <c r="C247" s="4">
        <v>2021</v>
      </c>
      <c r="D247" s="2" t="s">
        <v>81</v>
      </c>
      <c r="E247" s="5">
        <v>9.18</v>
      </c>
      <c r="F247" s="2" t="s">
        <v>17</v>
      </c>
      <c r="G247" s="4" t="str">
        <f>IF(F247="Payment / Credit","Payment",IF(E247&lt;0,"Income","Spend"))</f>
        <v>Spend</v>
      </c>
    </row>
    <row r="248" spans="1:7" ht="15" hidden="1" customHeight="1" x14ac:dyDescent="0.3">
      <c r="A248" s="2" t="s">
        <v>7</v>
      </c>
      <c r="B248" s="3">
        <v>44261</v>
      </c>
      <c r="C248" s="4">
        <v>2021</v>
      </c>
      <c r="D248" s="2" t="s">
        <v>121</v>
      </c>
      <c r="E248" s="5">
        <v>17.61</v>
      </c>
      <c r="F248" s="2" t="s">
        <v>13</v>
      </c>
      <c r="G248" s="4" t="str">
        <f>IF(F248="Payment / Credit","Payment",IF(E248&lt;0,"Income","Spend"))</f>
        <v>Spend</v>
      </c>
    </row>
    <row r="249" spans="1:7" ht="15" hidden="1" customHeight="1" x14ac:dyDescent="0.3">
      <c r="A249" s="2" t="s">
        <v>7</v>
      </c>
      <c r="B249" s="3">
        <v>44261</v>
      </c>
      <c r="C249" s="4">
        <v>2021</v>
      </c>
      <c r="D249" s="2" t="s">
        <v>63</v>
      </c>
      <c r="E249" s="5">
        <v>73.91</v>
      </c>
      <c r="F249" s="2" t="s">
        <v>9</v>
      </c>
      <c r="G249" s="4" t="str">
        <f>IF(F249="Payment / Credit","Payment",IF(E249&lt;0,"Income","Spend"))</f>
        <v>Spend</v>
      </c>
    </row>
    <row r="250" spans="1:7" ht="15" hidden="1" customHeight="1" x14ac:dyDescent="0.3">
      <c r="A250" s="2" t="s">
        <v>7</v>
      </c>
      <c r="B250" s="3">
        <v>44261</v>
      </c>
      <c r="C250" s="4">
        <v>2021</v>
      </c>
      <c r="D250" s="2" t="s">
        <v>122</v>
      </c>
      <c r="E250" s="5">
        <v>67.540000000000006</v>
      </c>
      <c r="F250" s="2" t="s">
        <v>123</v>
      </c>
      <c r="G250" s="4" t="str">
        <f>IF(F250="Payment / Credit","Payment",IF(E250&lt;0,"Income","Spend"))</f>
        <v>Spend</v>
      </c>
    </row>
    <row r="251" spans="1:7" ht="15" hidden="1" customHeight="1" x14ac:dyDescent="0.3">
      <c r="A251" s="2" t="s">
        <v>7</v>
      </c>
      <c r="B251" s="3">
        <v>44261</v>
      </c>
      <c r="C251" s="4">
        <v>2021</v>
      </c>
      <c r="D251" s="2" t="s">
        <v>124</v>
      </c>
      <c r="E251" s="5">
        <v>9.17</v>
      </c>
      <c r="F251" s="2" t="s">
        <v>9</v>
      </c>
      <c r="G251" s="4" t="str">
        <f>IF(F251="Payment / Credit","Payment",IF(E251&lt;0,"Income","Spend"))</f>
        <v>Spend</v>
      </c>
    </row>
    <row r="252" spans="1:7" ht="15" hidden="1" customHeight="1" x14ac:dyDescent="0.3">
      <c r="A252" s="2" t="s">
        <v>7</v>
      </c>
      <c r="B252" s="3">
        <v>44262</v>
      </c>
      <c r="C252" s="4">
        <v>2021</v>
      </c>
      <c r="D252" s="2" t="s">
        <v>117</v>
      </c>
      <c r="E252" s="5">
        <v>35.5</v>
      </c>
      <c r="F252" s="2" t="s">
        <v>17</v>
      </c>
      <c r="G252" s="4" t="str">
        <f>IF(F252="Payment / Credit","Payment",IF(E252&lt;0,"Income","Spend"))</f>
        <v>Spend</v>
      </c>
    </row>
    <row r="253" spans="1:7" ht="15" hidden="1" customHeight="1" x14ac:dyDescent="0.3">
      <c r="A253" s="2" t="s">
        <v>7</v>
      </c>
      <c r="B253" s="3">
        <v>44267</v>
      </c>
      <c r="C253" s="4">
        <v>2021</v>
      </c>
      <c r="D253" s="2" t="s">
        <v>35</v>
      </c>
      <c r="E253" s="5">
        <v>34.51</v>
      </c>
      <c r="F253" s="2" t="s">
        <v>9</v>
      </c>
      <c r="G253" s="4" t="str">
        <f>IF(F253="Payment / Credit","Payment",IF(E253&lt;0,"Income","Spend"))</f>
        <v>Spend</v>
      </c>
    </row>
    <row r="254" spans="1:7" ht="15" hidden="1" customHeight="1" x14ac:dyDescent="0.3">
      <c r="A254" s="2" t="s">
        <v>7</v>
      </c>
      <c r="B254" s="3">
        <v>44269</v>
      </c>
      <c r="C254" s="4">
        <v>2021</v>
      </c>
      <c r="D254" s="2" t="s">
        <v>117</v>
      </c>
      <c r="E254" s="5">
        <v>35.5</v>
      </c>
      <c r="F254" s="2" t="s">
        <v>17</v>
      </c>
      <c r="G254" s="4" t="str">
        <f>IF(F254="Payment / Credit","Payment",IF(E254&lt;0,"Income","Spend"))</f>
        <v>Spend</v>
      </c>
    </row>
    <row r="255" spans="1:7" ht="15" hidden="1" customHeight="1" x14ac:dyDescent="0.3">
      <c r="A255" s="2" t="s">
        <v>7</v>
      </c>
      <c r="B255" s="3">
        <v>44271</v>
      </c>
      <c r="C255" s="4">
        <v>2021</v>
      </c>
      <c r="D255" s="2" t="s">
        <v>61</v>
      </c>
      <c r="E255" s="5">
        <v>26.32</v>
      </c>
      <c r="F255" s="2" t="s">
        <v>17</v>
      </c>
      <c r="G255" s="4" t="str">
        <f>IF(F255="Payment / Credit","Payment",IF(E255&lt;0,"Income","Spend"))</f>
        <v>Spend</v>
      </c>
    </row>
    <row r="256" spans="1:7" ht="15" hidden="1" customHeight="1" x14ac:dyDescent="0.3">
      <c r="A256" s="2" t="s">
        <v>7</v>
      </c>
      <c r="B256" s="3">
        <v>44272</v>
      </c>
      <c r="C256" s="4">
        <v>2021</v>
      </c>
      <c r="D256" s="2" t="s">
        <v>125</v>
      </c>
      <c r="E256" s="5">
        <v>41.63</v>
      </c>
      <c r="F256" s="2" t="s">
        <v>11</v>
      </c>
      <c r="G256" s="4" t="str">
        <f>IF(F256="Payment / Credit","Payment",IF(E256&lt;0,"Income","Spend"))</f>
        <v>Spend</v>
      </c>
    </row>
    <row r="257" spans="1:7" ht="15" hidden="1" customHeight="1" x14ac:dyDescent="0.3">
      <c r="A257" s="2" t="s">
        <v>7</v>
      </c>
      <c r="B257" s="3">
        <v>44275</v>
      </c>
      <c r="C257" s="4">
        <v>2021</v>
      </c>
      <c r="D257" s="2" t="s">
        <v>126</v>
      </c>
      <c r="E257" s="5">
        <v>55.92</v>
      </c>
      <c r="F257" s="2" t="s">
        <v>9</v>
      </c>
      <c r="G257" s="4" t="str">
        <f>IF(F257="Payment / Credit","Payment",IF(E257&lt;0,"Income","Spend"))</f>
        <v>Spend</v>
      </c>
    </row>
    <row r="258" spans="1:7" ht="15" hidden="1" customHeight="1" x14ac:dyDescent="0.3">
      <c r="A258" s="2" t="s">
        <v>7</v>
      </c>
      <c r="B258" s="3">
        <v>44275</v>
      </c>
      <c r="C258" s="4">
        <v>2021</v>
      </c>
      <c r="D258" s="2" t="s">
        <v>127</v>
      </c>
      <c r="E258" s="5">
        <v>39.729999999999997</v>
      </c>
      <c r="F258" s="2" t="s">
        <v>9</v>
      </c>
      <c r="G258" s="4" t="str">
        <f>IF(F258="Payment / Credit","Payment",IF(E258&lt;0,"Income","Spend"))</f>
        <v>Spend</v>
      </c>
    </row>
    <row r="259" spans="1:7" ht="15" hidden="1" customHeight="1" x14ac:dyDescent="0.3">
      <c r="A259" s="2" t="s">
        <v>7</v>
      </c>
      <c r="B259" s="3">
        <v>44276</v>
      </c>
      <c r="C259" s="4">
        <v>2021</v>
      </c>
      <c r="D259" s="2" t="s">
        <v>81</v>
      </c>
      <c r="E259" s="5">
        <v>10.57</v>
      </c>
      <c r="F259" s="2" t="s">
        <v>17</v>
      </c>
      <c r="G259" s="4" t="str">
        <f>IF(F259="Payment / Credit","Payment",IF(E259&lt;0,"Income","Spend"))</f>
        <v>Spend</v>
      </c>
    </row>
    <row r="260" spans="1:7" ht="15" hidden="1" customHeight="1" x14ac:dyDescent="0.3">
      <c r="A260" s="2" t="s">
        <v>7</v>
      </c>
      <c r="B260" s="3">
        <v>44280</v>
      </c>
      <c r="C260" s="4">
        <v>2021</v>
      </c>
      <c r="D260" s="2" t="s">
        <v>85</v>
      </c>
      <c r="E260" s="5">
        <v>68.27</v>
      </c>
      <c r="F260" s="2" t="s">
        <v>13</v>
      </c>
      <c r="G260" s="4" t="str">
        <f>IF(F260="Payment / Credit","Payment",IF(E260&lt;0,"Income","Spend"))</f>
        <v>Spend</v>
      </c>
    </row>
    <row r="261" spans="1:7" ht="15" hidden="1" customHeight="1" x14ac:dyDescent="0.3">
      <c r="A261" s="2" t="s">
        <v>7</v>
      </c>
      <c r="B261" s="3">
        <v>44283</v>
      </c>
      <c r="C261" s="4">
        <v>2021</v>
      </c>
      <c r="D261" s="2" t="s">
        <v>126</v>
      </c>
      <c r="E261" s="5">
        <v>61.34</v>
      </c>
      <c r="F261" s="2" t="s">
        <v>9</v>
      </c>
      <c r="G261" s="4" t="str">
        <f>IF(F261="Payment / Credit","Payment",IF(E261&lt;0,"Income","Spend"))</f>
        <v>Spend</v>
      </c>
    </row>
    <row r="262" spans="1:7" ht="15" hidden="1" customHeight="1" x14ac:dyDescent="0.3">
      <c r="A262" s="2" t="s">
        <v>7</v>
      </c>
      <c r="B262" s="3">
        <v>44284</v>
      </c>
      <c r="C262" s="4">
        <v>2021</v>
      </c>
      <c r="D262" s="2" t="s">
        <v>27</v>
      </c>
      <c r="E262" s="5">
        <v>32.82</v>
      </c>
      <c r="F262" s="2" t="s">
        <v>9</v>
      </c>
      <c r="G262" s="4" t="str">
        <f>IF(F262="Payment / Credit","Payment",IF(E262&lt;0,"Income","Spend"))</f>
        <v>Spend</v>
      </c>
    </row>
    <row r="263" spans="1:7" ht="15" hidden="1" customHeight="1" x14ac:dyDescent="0.3">
      <c r="A263" s="2" t="s">
        <v>7</v>
      </c>
      <c r="B263" s="3">
        <v>44286</v>
      </c>
      <c r="C263" s="4">
        <v>2021</v>
      </c>
      <c r="D263" s="2" t="s">
        <v>112</v>
      </c>
      <c r="E263" s="5">
        <v>13.56</v>
      </c>
      <c r="F263" s="2" t="s">
        <v>17</v>
      </c>
      <c r="G263" s="4" t="str">
        <f>IF(F263="Payment / Credit","Payment",IF(E263&lt;0,"Income","Spend"))</f>
        <v>Spend</v>
      </c>
    </row>
    <row r="264" spans="1:7" ht="15" hidden="1" customHeight="1" x14ac:dyDescent="0.3">
      <c r="A264" s="2" t="s">
        <v>7</v>
      </c>
      <c r="B264" s="3">
        <v>44286</v>
      </c>
      <c r="C264" s="4">
        <v>2021</v>
      </c>
      <c r="D264" s="2" t="s">
        <v>63</v>
      </c>
      <c r="E264" s="5">
        <v>47.16</v>
      </c>
      <c r="F264" s="2" t="s">
        <v>9</v>
      </c>
      <c r="G264" s="4" t="str">
        <f>IF(F264="Payment / Credit","Payment",IF(E264&lt;0,"Income","Spend"))</f>
        <v>Spend</v>
      </c>
    </row>
    <row r="265" spans="1:7" ht="15" hidden="1" customHeight="1" x14ac:dyDescent="0.3">
      <c r="A265" s="2" t="s">
        <v>7</v>
      </c>
      <c r="B265" s="3">
        <v>44289</v>
      </c>
      <c r="C265" s="4">
        <v>2021</v>
      </c>
      <c r="D265" s="2" t="s">
        <v>35</v>
      </c>
      <c r="E265" s="5">
        <v>19.71</v>
      </c>
      <c r="F265" s="2" t="s">
        <v>9</v>
      </c>
      <c r="G265" s="4" t="str">
        <f>IF(F265="Payment / Credit","Payment",IF(E265&lt;0,"Income","Spend"))</f>
        <v>Spend</v>
      </c>
    </row>
    <row r="266" spans="1:7" ht="15" hidden="1" customHeight="1" x14ac:dyDescent="0.3">
      <c r="A266" s="2" t="s">
        <v>7</v>
      </c>
      <c r="B266" s="3">
        <v>44289</v>
      </c>
      <c r="C266" s="4">
        <v>2021</v>
      </c>
      <c r="D266" s="2" t="s">
        <v>126</v>
      </c>
      <c r="E266" s="5">
        <v>17.18</v>
      </c>
      <c r="F266" s="2" t="s">
        <v>9</v>
      </c>
      <c r="G266" s="4" t="str">
        <f>IF(F266="Payment / Credit","Payment",IF(E266&lt;0,"Income","Spend"))</f>
        <v>Spend</v>
      </c>
    </row>
    <row r="267" spans="1:7" ht="15" hidden="1" customHeight="1" x14ac:dyDescent="0.3">
      <c r="A267" s="2" t="s">
        <v>7</v>
      </c>
      <c r="B267" s="3">
        <v>44289</v>
      </c>
      <c r="C267" s="4">
        <v>2021</v>
      </c>
      <c r="D267" s="2" t="s">
        <v>51</v>
      </c>
      <c r="E267" s="5">
        <v>15.23</v>
      </c>
      <c r="F267" s="2" t="s">
        <v>9</v>
      </c>
      <c r="G267" s="4" t="str">
        <f>IF(F267="Payment / Credit","Payment",IF(E267&lt;0,"Income","Spend"))</f>
        <v>Spend</v>
      </c>
    </row>
    <row r="268" spans="1:7" ht="15" hidden="1" customHeight="1" x14ac:dyDescent="0.3">
      <c r="A268" s="2" t="s">
        <v>7</v>
      </c>
      <c r="B268" s="3">
        <v>44290</v>
      </c>
      <c r="C268" s="4">
        <v>2021</v>
      </c>
      <c r="D268" s="2" t="s">
        <v>128</v>
      </c>
      <c r="E268" s="5">
        <v>11.12</v>
      </c>
      <c r="F268" s="2" t="s">
        <v>9</v>
      </c>
      <c r="G268" s="4" t="str">
        <f>IF(F268="Payment / Credit","Payment",IF(E268&lt;0,"Income","Spend"))</f>
        <v>Spend</v>
      </c>
    </row>
    <row r="269" spans="1:7" ht="15" hidden="1" customHeight="1" x14ac:dyDescent="0.3">
      <c r="A269" s="2" t="s">
        <v>7</v>
      </c>
      <c r="B269" s="3">
        <v>44292</v>
      </c>
      <c r="C269" s="4">
        <v>2021</v>
      </c>
      <c r="D269" s="2" t="s">
        <v>63</v>
      </c>
      <c r="E269" s="5">
        <v>93.63</v>
      </c>
      <c r="F269" s="2" t="s">
        <v>9</v>
      </c>
      <c r="G269" s="4" t="str">
        <f>IF(F269="Payment / Credit","Payment",IF(E269&lt;0,"Income","Spend"))</f>
        <v>Spend</v>
      </c>
    </row>
    <row r="270" spans="1:7" ht="15" hidden="1" customHeight="1" x14ac:dyDescent="0.3">
      <c r="A270" s="2" t="s">
        <v>7</v>
      </c>
      <c r="B270" s="3">
        <v>44292</v>
      </c>
      <c r="C270" s="4">
        <v>2021</v>
      </c>
      <c r="D270" s="2" t="s">
        <v>125</v>
      </c>
      <c r="E270" s="5">
        <v>50.88</v>
      </c>
      <c r="F270" s="2" t="s">
        <v>11</v>
      </c>
      <c r="G270" s="4" t="str">
        <f>IF(F270="Payment / Credit","Payment",IF(E270&lt;0,"Income","Spend"))</f>
        <v>Spend</v>
      </c>
    </row>
    <row r="271" spans="1:7" ht="15" hidden="1" customHeight="1" x14ac:dyDescent="0.3">
      <c r="A271" s="2" t="s">
        <v>7</v>
      </c>
      <c r="B271" s="3">
        <v>44296</v>
      </c>
      <c r="C271" s="4">
        <v>2021</v>
      </c>
      <c r="D271" s="2" t="s">
        <v>81</v>
      </c>
      <c r="E271" s="5">
        <v>8.07</v>
      </c>
      <c r="F271" s="2" t="s">
        <v>17</v>
      </c>
      <c r="G271" s="4" t="str">
        <f>IF(F271="Payment / Credit","Payment",IF(E271&lt;0,"Income","Spend"))</f>
        <v>Spend</v>
      </c>
    </row>
    <row r="272" spans="1:7" ht="15" hidden="1" customHeight="1" x14ac:dyDescent="0.3">
      <c r="A272" s="2" t="s">
        <v>7</v>
      </c>
      <c r="B272" s="3">
        <v>44296</v>
      </c>
      <c r="C272" s="4">
        <v>2021</v>
      </c>
      <c r="D272" s="2" t="s">
        <v>126</v>
      </c>
      <c r="E272" s="5">
        <v>23.81</v>
      </c>
      <c r="F272" s="2" t="s">
        <v>9</v>
      </c>
      <c r="G272" s="4" t="str">
        <f>IF(F272="Payment / Credit","Payment",IF(E272&lt;0,"Income","Spend"))</f>
        <v>Spend</v>
      </c>
    </row>
    <row r="273" spans="1:7" ht="15" hidden="1" customHeight="1" x14ac:dyDescent="0.3">
      <c r="A273" s="2" t="s">
        <v>7</v>
      </c>
      <c r="B273" s="3">
        <v>44298</v>
      </c>
      <c r="C273" s="4">
        <v>2021</v>
      </c>
      <c r="D273" s="2" t="s">
        <v>46</v>
      </c>
      <c r="E273" s="5">
        <v>-637.5</v>
      </c>
      <c r="F273" s="2" t="s">
        <v>47</v>
      </c>
      <c r="G273" s="4" t="str">
        <f>IF(F273="Payment / Credit","Payment",IF(E273&lt;0,"Income","Spend"))</f>
        <v>Payment</v>
      </c>
    </row>
    <row r="274" spans="1:7" ht="15" hidden="1" customHeight="1" x14ac:dyDescent="0.3">
      <c r="A274" s="2" t="s">
        <v>7</v>
      </c>
      <c r="B274" s="3">
        <v>44304</v>
      </c>
      <c r="C274" s="4">
        <v>2021</v>
      </c>
      <c r="D274" s="2" t="s">
        <v>102</v>
      </c>
      <c r="E274" s="5">
        <v>-636.95000000000005</v>
      </c>
      <c r="F274" s="2" t="s">
        <v>47</v>
      </c>
      <c r="G274" s="4" t="str">
        <f>IF(F274="Payment / Credit","Payment",IF(E274&lt;0,"Income","Spend"))</f>
        <v>Payment</v>
      </c>
    </row>
    <row r="275" spans="1:7" ht="15" hidden="1" customHeight="1" x14ac:dyDescent="0.3">
      <c r="A275" s="2" t="s">
        <v>7</v>
      </c>
      <c r="B275" s="3">
        <v>44304</v>
      </c>
      <c r="C275" s="4">
        <v>2021</v>
      </c>
      <c r="D275" s="2" t="s">
        <v>126</v>
      </c>
      <c r="E275" s="5">
        <v>31.7</v>
      </c>
      <c r="F275" s="2" t="s">
        <v>9</v>
      </c>
      <c r="G275" s="4" t="str">
        <f>IF(F275="Payment / Credit","Payment",IF(E275&lt;0,"Income","Spend"))</f>
        <v>Spend</v>
      </c>
    </row>
    <row r="276" spans="1:7" ht="15" hidden="1" customHeight="1" x14ac:dyDescent="0.3">
      <c r="A276" s="2" t="s">
        <v>7</v>
      </c>
      <c r="B276" s="3">
        <v>44310</v>
      </c>
      <c r="C276" s="4">
        <v>2021</v>
      </c>
      <c r="D276" s="2" t="s">
        <v>63</v>
      </c>
      <c r="E276" s="5">
        <v>110.92</v>
      </c>
      <c r="F276" s="2" t="s">
        <v>9</v>
      </c>
      <c r="G276" s="4" t="str">
        <f>IF(F276="Payment / Credit","Payment",IF(E276&lt;0,"Income","Spend"))</f>
        <v>Spend</v>
      </c>
    </row>
    <row r="277" spans="1:7" ht="15" hidden="1" customHeight="1" x14ac:dyDescent="0.3">
      <c r="A277" s="2" t="s">
        <v>7</v>
      </c>
      <c r="B277" s="3">
        <v>44310</v>
      </c>
      <c r="C277" s="4">
        <v>2021</v>
      </c>
      <c r="D277" s="2" t="s">
        <v>126</v>
      </c>
      <c r="E277" s="5">
        <v>36.81</v>
      </c>
      <c r="F277" s="2" t="s">
        <v>9</v>
      </c>
      <c r="G277" s="4" t="str">
        <f>IF(F277="Payment / Credit","Payment",IF(E277&lt;0,"Income","Spend"))</f>
        <v>Spend</v>
      </c>
    </row>
    <row r="278" spans="1:7" ht="15" hidden="1" customHeight="1" x14ac:dyDescent="0.3">
      <c r="A278" s="2" t="s">
        <v>7</v>
      </c>
      <c r="B278" s="3">
        <v>44310</v>
      </c>
      <c r="C278" s="4">
        <v>2021</v>
      </c>
      <c r="D278" s="2" t="s">
        <v>129</v>
      </c>
      <c r="E278" s="5">
        <v>10.48</v>
      </c>
      <c r="F278" s="2" t="s">
        <v>17</v>
      </c>
      <c r="G278" s="4" t="str">
        <f>IF(F278="Payment / Credit","Payment",IF(E278&lt;0,"Income","Spend"))</f>
        <v>Spend</v>
      </c>
    </row>
    <row r="279" spans="1:7" ht="15" hidden="1" customHeight="1" x14ac:dyDescent="0.3">
      <c r="A279" s="2" t="s">
        <v>7</v>
      </c>
      <c r="B279" s="3">
        <v>44310</v>
      </c>
      <c r="C279" s="4">
        <v>2021</v>
      </c>
      <c r="D279" s="2" t="s">
        <v>122</v>
      </c>
      <c r="E279" s="5">
        <v>12.14</v>
      </c>
      <c r="F279" s="2" t="s">
        <v>123</v>
      </c>
      <c r="G279" s="4" t="str">
        <f>IF(F279="Payment / Credit","Payment",IF(E279&lt;0,"Income","Spend"))</f>
        <v>Spend</v>
      </c>
    </row>
    <row r="280" spans="1:7" ht="15" hidden="1" customHeight="1" x14ac:dyDescent="0.3">
      <c r="A280" s="2" t="s">
        <v>7</v>
      </c>
      <c r="B280" s="3">
        <v>44312</v>
      </c>
      <c r="C280" s="4">
        <v>2021</v>
      </c>
      <c r="D280" s="2" t="s">
        <v>27</v>
      </c>
      <c r="E280" s="5">
        <v>28.53</v>
      </c>
      <c r="F280" s="2" t="s">
        <v>9</v>
      </c>
      <c r="G280" s="4" t="str">
        <f>IF(F280="Payment / Credit","Payment",IF(E280&lt;0,"Income","Spend"))</f>
        <v>Spend</v>
      </c>
    </row>
    <row r="281" spans="1:7" ht="15" hidden="1" customHeight="1" x14ac:dyDescent="0.3">
      <c r="A281" s="2" t="s">
        <v>7</v>
      </c>
      <c r="B281" s="3">
        <v>44317</v>
      </c>
      <c r="C281" s="4">
        <v>2021</v>
      </c>
      <c r="D281" s="2" t="s">
        <v>51</v>
      </c>
      <c r="E281" s="5">
        <v>10.050000000000001</v>
      </c>
      <c r="F281" s="2" t="s">
        <v>9</v>
      </c>
      <c r="G281" s="4" t="str">
        <f>IF(F281="Payment / Credit","Payment",IF(E281&lt;0,"Income","Spend"))</f>
        <v>Spend</v>
      </c>
    </row>
    <row r="282" spans="1:7" ht="15" hidden="1" customHeight="1" x14ac:dyDescent="0.3">
      <c r="A282" s="2" t="s">
        <v>7</v>
      </c>
      <c r="B282" s="3">
        <v>44317</v>
      </c>
      <c r="C282" s="4">
        <v>2021</v>
      </c>
      <c r="D282" s="2" t="s">
        <v>35</v>
      </c>
      <c r="E282" s="5">
        <v>40.44</v>
      </c>
      <c r="F282" s="2" t="s">
        <v>9</v>
      </c>
      <c r="G282" s="4" t="str">
        <f>IF(F282="Payment / Credit","Payment",IF(E282&lt;0,"Income","Spend"))</f>
        <v>Spend</v>
      </c>
    </row>
    <row r="283" spans="1:7" ht="15" hidden="1" customHeight="1" x14ac:dyDescent="0.3">
      <c r="A283" s="2" t="s">
        <v>7</v>
      </c>
      <c r="B283" s="3">
        <v>44318</v>
      </c>
      <c r="C283" s="4">
        <v>2021</v>
      </c>
      <c r="D283" s="2" t="s">
        <v>63</v>
      </c>
      <c r="E283" s="5">
        <v>106.81</v>
      </c>
      <c r="F283" s="2" t="s">
        <v>9</v>
      </c>
      <c r="G283" s="4" t="str">
        <f>IF(F283="Payment / Credit","Payment",IF(E283&lt;0,"Income","Spend"))</f>
        <v>Spend</v>
      </c>
    </row>
    <row r="284" spans="1:7" ht="15" customHeight="1" x14ac:dyDescent="0.3">
      <c r="A284" s="2" t="s">
        <v>7</v>
      </c>
      <c r="B284" s="3">
        <v>44322</v>
      </c>
      <c r="C284" s="4">
        <v>2021</v>
      </c>
      <c r="D284" s="2" t="s">
        <v>130</v>
      </c>
      <c r="E284" s="5">
        <v>239</v>
      </c>
      <c r="F284" s="2" t="s">
        <v>209</v>
      </c>
      <c r="G284" s="4" t="str">
        <f>IF(F284="Payment / Credit","Payment",IF(E284&lt;0,"Income","Spend"))</f>
        <v>Spend</v>
      </c>
    </row>
    <row r="285" spans="1:7" ht="15" hidden="1" customHeight="1" x14ac:dyDescent="0.3">
      <c r="A285" s="2" t="s">
        <v>7</v>
      </c>
      <c r="B285" s="3">
        <v>44322</v>
      </c>
      <c r="C285" s="4">
        <v>2021</v>
      </c>
      <c r="D285" s="2" t="s">
        <v>10</v>
      </c>
      <c r="E285" s="5">
        <v>4.34</v>
      </c>
      <c r="F285" s="2" t="s">
        <v>11</v>
      </c>
      <c r="G285" s="4" t="str">
        <f>IF(F285="Payment / Credit","Payment",IF(E285&lt;0,"Income","Spend"))</f>
        <v>Spend</v>
      </c>
    </row>
    <row r="286" spans="1:7" ht="15" hidden="1" customHeight="1" x14ac:dyDescent="0.3">
      <c r="A286" s="2" t="s">
        <v>7</v>
      </c>
      <c r="B286" s="3">
        <v>44323</v>
      </c>
      <c r="C286" s="4">
        <v>2021</v>
      </c>
      <c r="D286" s="2" t="s">
        <v>44</v>
      </c>
      <c r="E286" s="5">
        <v>8.9</v>
      </c>
      <c r="F286" s="2" t="s">
        <v>17</v>
      </c>
      <c r="G286" s="4" t="str">
        <f>IF(F286="Payment / Credit","Payment",IF(E286&lt;0,"Income","Spend"))</f>
        <v>Spend</v>
      </c>
    </row>
    <row r="287" spans="1:7" ht="15" hidden="1" customHeight="1" x14ac:dyDescent="0.3">
      <c r="A287" s="2" t="s">
        <v>7</v>
      </c>
      <c r="B287" s="3">
        <v>44325</v>
      </c>
      <c r="C287" s="4">
        <v>2021</v>
      </c>
      <c r="D287" s="2" t="s">
        <v>52</v>
      </c>
      <c r="E287" s="5">
        <v>7.11</v>
      </c>
      <c r="F287" s="2" t="s">
        <v>9</v>
      </c>
      <c r="G287" s="4" t="str">
        <f>IF(F287="Payment / Credit","Payment",IF(E287&lt;0,"Income","Spend"))</f>
        <v>Spend</v>
      </c>
    </row>
    <row r="288" spans="1:7" ht="15" hidden="1" customHeight="1" x14ac:dyDescent="0.3">
      <c r="A288" s="2" t="s">
        <v>7</v>
      </c>
      <c r="B288" s="3">
        <v>44328</v>
      </c>
      <c r="C288" s="4">
        <v>2021</v>
      </c>
      <c r="D288" s="2" t="s">
        <v>61</v>
      </c>
      <c r="E288" s="5">
        <v>8.77</v>
      </c>
      <c r="F288" s="2" t="s">
        <v>17</v>
      </c>
      <c r="G288" s="4" t="str">
        <f>IF(F288="Payment / Credit","Payment",IF(E288&lt;0,"Income","Spend"))</f>
        <v>Spend</v>
      </c>
    </row>
    <row r="289" spans="1:7" ht="15" hidden="1" customHeight="1" x14ac:dyDescent="0.3">
      <c r="A289" s="2" t="s">
        <v>7</v>
      </c>
      <c r="B289" s="3">
        <v>44330</v>
      </c>
      <c r="C289" s="4">
        <v>2021</v>
      </c>
      <c r="D289" s="2" t="s">
        <v>69</v>
      </c>
      <c r="E289" s="5">
        <v>27.6</v>
      </c>
      <c r="F289" s="2" t="s">
        <v>9</v>
      </c>
      <c r="G289" s="4" t="str">
        <f>IF(F289="Payment / Credit","Payment",IF(E289&lt;0,"Income","Spend"))</f>
        <v>Spend</v>
      </c>
    </row>
    <row r="290" spans="1:7" ht="15" hidden="1" customHeight="1" x14ac:dyDescent="0.3">
      <c r="A290" s="2" t="s">
        <v>7</v>
      </c>
      <c r="B290" s="3">
        <v>44330</v>
      </c>
      <c r="C290" s="4">
        <v>2021</v>
      </c>
      <c r="D290" s="2" t="s">
        <v>10</v>
      </c>
      <c r="E290" s="5">
        <v>3.58</v>
      </c>
      <c r="F290" s="2" t="s">
        <v>11</v>
      </c>
      <c r="G290" s="4" t="str">
        <f>IF(F290="Payment / Credit","Payment",IF(E290&lt;0,"Income","Spend"))</f>
        <v>Spend</v>
      </c>
    </row>
    <row r="291" spans="1:7" ht="15" hidden="1" customHeight="1" x14ac:dyDescent="0.3">
      <c r="A291" s="2" t="s">
        <v>7</v>
      </c>
      <c r="B291" s="3">
        <v>44331</v>
      </c>
      <c r="C291" s="4">
        <v>2021</v>
      </c>
      <c r="D291" s="2" t="s">
        <v>131</v>
      </c>
      <c r="E291" s="5">
        <v>15.53</v>
      </c>
      <c r="F291" s="2" t="s">
        <v>17</v>
      </c>
      <c r="G291" s="4" t="str">
        <f>IF(F291="Payment / Credit","Payment",IF(E291&lt;0,"Income","Spend"))</f>
        <v>Spend</v>
      </c>
    </row>
    <row r="292" spans="1:7" ht="15" hidden="1" customHeight="1" x14ac:dyDescent="0.3">
      <c r="A292" s="2" t="s">
        <v>7</v>
      </c>
      <c r="B292" s="3">
        <v>44331</v>
      </c>
      <c r="C292" s="4">
        <v>2021</v>
      </c>
      <c r="D292" s="2" t="s">
        <v>57</v>
      </c>
      <c r="E292" s="5">
        <v>2.77</v>
      </c>
      <c r="F292" s="2" t="s">
        <v>17</v>
      </c>
      <c r="G292" s="4" t="str">
        <f>IF(F292="Payment / Credit","Payment",IF(E292&lt;0,"Income","Spend"))</f>
        <v>Spend</v>
      </c>
    </row>
    <row r="293" spans="1:7" ht="15" hidden="1" customHeight="1" x14ac:dyDescent="0.3">
      <c r="A293" s="2" t="s">
        <v>7</v>
      </c>
      <c r="B293" s="3">
        <v>44332</v>
      </c>
      <c r="C293" s="4">
        <v>2021</v>
      </c>
      <c r="D293" s="2" t="s">
        <v>27</v>
      </c>
      <c r="E293" s="5">
        <v>11.85</v>
      </c>
      <c r="F293" s="2" t="s">
        <v>9</v>
      </c>
      <c r="G293" s="4" t="str">
        <f>IF(F293="Payment / Credit","Payment",IF(E293&lt;0,"Income","Spend"))</f>
        <v>Spend</v>
      </c>
    </row>
    <row r="294" spans="1:7" ht="15" hidden="1" customHeight="1" x14ac:dyDescent="0.3">
      <c r="A294" s="2" t="s">
        <v>7</v>
      </c>
      <c r="B294" s="3">
        <v>44332</v>
      </c>
      <c r="C294" s="4">
        <v>2021</v>
      </c>
      <c r="D294" s="2" t="s">
        <v>52</v>
      </c>
      <c r="E294" s="5">
        <v>12.14</v>
      </c>
      <c r="F294" s="2" t="s">
        <v>9</v>
      </c>
      <c r="G294" s="4" t="str">
        <f>IF(F294="Payment / Credit","Payment",IF(E294&lt;0,"Income","Spend"))</f>
        <v>Spend</v>
      </c>
    </row>
    <row r="295" spans="1:7" ht="15" hidden="1" customHeight="1" x14ac:dyDescent="0.3">
      <c r="A295" s="2" t="s">
        <v>7</v>
      </c>
      <c r="B295" s="3">
        <v>44337</v>
      </c>
      <c r="C295" s="4">
        <v>2021</v>
      </c>
      <c r="D295" s="2" t="s">
        <v>10</v>
      </c>
      <c r="E295" s="5">
        <v>3.27</v>
      </c>
      <c r="F295" s="2" t="s">
        <v>11</v>
      </c>
      <c r="G295" s="4" t="str">
        <f>IF(F295="Payment / Credit","Payment",IF(E295&lt;0,"Income","Spend"))</f>
        <v>Spend</v>
      </c>
    </row>
    <row r="296" spans="1:7" ht="15" hidden="1" customHeight="1" x14ac:dyDescent="0.3">
      <c r="A296" s="2" t="s">
        <v>7</v>
      </c>
      <c r="B296" s="3">
        <v>44345</v>
      </c>
      <c r="C296" s="4">
        <v>2021</v>
      </c>
      <c r="D296" s="2" t="s">
        <v>63</v>
      </c>
      <c r="E296" s="5">
        <v>56.88</v>
      </c>
      <c r="F296" s="2" t="s">
        <v>9</v>
      </c>
      <c r="G296" s="4" t="str">
        <f>IF(F296="Payment / Credit","Payment",IF(E296&lt;0,"Income","Spend"))</f>
        <v>Spend</v>
      </c>
    </row>
    <row r="297" spans="1:7" ht="15" hidden="1" customHeight="1" x14ac:dyDescent="0.3">
      <c r="A297" s="2" t="s">
        <v>7</v>
      </c>
      <c r="B297" s="3">
        <v>44345</v>
      </c>
      <c r="C297" s="4">
        <v>2021</v>
      </c>
      <c r="D297" s="2" t="s">
        <v>8</v>
      </c>
      <c r="E297" s="5">
        <v>10.16</v>
      </c>
      <c r="F297" s="2" t="s">
        <v>9</v>
      </c>
      <c r="G297" s="4" t="str">
        <f>IF(F297="Payment / Credit","Payment",IF(E297&lt;0,"Income","Spend"))</f>
        <v>Spend</v>
      </c>
    </row>
    <row r="298" spans="1:7" ht="15" hidden="1" customHeight="1" x14ac:dyDescent="0.3">
      <c r="A298" s="2" t="s">
        <v>7</v>
      </c>
      <c r="B298" s="3">
        <v>44353</v>
      </c>
      <c r="C298" s="4">
        <v>2021</v>
      </c>
      <c r="D298" s="2" t="s">
        <v>35</v>
      </c>
      <c r="E298" s="5">
        <v>8.98</v>
      </c>
      <c r="F298" s="2" t="s">
        <v>9</v>
      </c>
      <c r="G298" s="4" t="str">
        <f>IF(F298="Payment / Credit","Payment",IF(E298&lt;0,"Income","Spend"))</f>
        <v>Spend</v>
      </c>
    </row>
    <row r="299" spans="1:7" ht="15" hidden="1" customHeight="1" x14ac:dyDescent="0.3">
      <c r="A299" s="2" t="s">
        <v>7</v>
      </c>
      <c r="B299" s="3">
        <v>44353</v>
      </c>
      <c r="C299" s="4">
        <v>2021</v>
      </c>
      <c r="D299" s="2" t="s">
        <v>44</v>
      </c>
      <c r="E299" s="5">
        <v>8.9</v>
      </c>
      <c r="F299" s="2" t="s">
        <v>17</v>
      </c>
      <c r="G299" s="4" t="str">
        <f>IF(F299="Payment / Credit","Payment",IF(E299&lt;0,"Income","Spend"))</f>
        <v>Spend</v>
      </c>
    </row>
    <row r="300" spans="1:7" ht="15" hidden="1" customHeight="1" x14ac:dyDescent="0.3">
      <c r="A300" s="2" t="s">
        <v>7</v>
      </c>
      <c r="B300" s="3">
        <v>44353</v>
      </c>
      <c r="C300" s="4">
        <v>2021</v>
      </c>
      <c r="D300" s="2" t="s">
        <v>132</v>
      </c>
      <c r="E300" s="5">
        <v>4.95</v>
      </c>
      <c r="F300" s="2" t="s">
        <v>17</v>
      </c>
      <c r="G300" s="4" t="str">
        <f>IF(F300="Payment / Credit","Payment",IF(E300&lt;0,"Income","Spend"))</f>
        <v>Spend</v>
      </c>
    </row>
    <row r="301" spans="1:7" ht="15" hidden="1" customHeight="1" x14ac:dyDescent="0.3">
      <c r="A301" s="2" t="s">
        <v>7</v>
      </c>
      <c r="B301" s="3">
        <v>44354</v>
      </c>
      <c r="C301" s="4">
        <v>2021</v>
      </c>
      <c r="D301" s="2" t="s">
        <v>10</v>
      </c>
      <c r="E301" s="5">
        <v>1.41</v>
      </c>
      <c r="F301" s="2" t="s">
        <v>11</v>
      </c>
      <c r="G301" s="4" t="str">
        <f>IF(F301="Payment / Credit","Payment",IF(E301&lt;0,"Income","Spend"))</f>
        <v>Spend</v>
      </c>
    </row>
    <row r="302" spans="1:7" ht="15" hidden="1" customHeight="1" x14ac:dyDescent="0.3">
      <c r="A302" s="2" t="s">
        <v>7</v>
      </c>
      <c r="B302" s="3">
        <v>44355</v>
      </c>
      <c r="C302" s="4">
        <v>2021</v>
      </c>
      <c r="D302" s="2" t="s">
        <v>133</v>
      </c>
      <c r="E302" s="5">
        <v>15.12</v>
      </c>
      <c r="F302" s="2" t="s">
        <v>9</v>
      </c>
      <c r="G302" s="4" t="str">
        <f>IF(F302="Payment / Credit","Payment",IF(E302&lt;0,"Income","Spend"))</f>
        <v>Spend</v>
      </c>
    </row>
    <row r="303" spans="1:7" ht="15" hidden="1" customHeight="1" x14ac:dyDescent="0.3">
      <c r="A303" s="2" t="s">
        <v>7</v>
      </c>
      <c r="B303" s="3">
        <v>44355</v>
      </c>
      <c r="C303" s="4">
        <v>2021</v>
      </c>
      <c r="D303" s="2" t="s">
        <v>134</v>
      </c>
      <c r="E303" s="5">
        <v>54.38</v>
      </c>
      <c r="F303" s="2" t="s">
        <v>11</v>
      </c>
      <c r="G303" s="4" t="str">
        <f>IF(F303="Payment / Credit","Payment",IF(E303&lt;0,"Income","Spend"))</f>
        <v>Spend</v>
      </c>
    </row>
    <row r="304" spans="1:7" ht="15" hidden="1" customHeight="1" x14ac:dyDescent="0.3">
      <c r="A304" s="2" t="s">
        <v>7</v>
      </c>
      <c r="B304" s="3">
        <v>44358</v>
      </c>
      <c r="C304" s="4">
        <v>2021</v>
      </c>
      <c r="D304" s="2" t="s">
        <v>46</v>
      </c>
      <c r="E304" s="5">
        <v>-656</v>
      </c>
      <c r="F304" s="2" t="s">
        <v>47</v>
      </c>
      <c r="G304" s="4" t="str">
        <f>IF(F304="Payment / Credit","Payment",IF(E304&lt;0,"Income","Spend"))</f>
        <v>Payment</v>
      </c>
    </row>
    <row r="305" spans="1:7" ht="15" hidden="1" customHeight="1" x14ac:dyDescent="0.3">
      <c r="A305" s="2" t="s">
        <v>7</v>
      </c>
      <c r="B305" s="3">
        <v>44359</v>
      </c>
      <c r="C305" s="4">
        <v>2021</v>
      </c>
      <c r="D305" s="2" t="s">
        <v>135</v>
      </c>
      <c r="E305" s="5">
        <v>5.6</v>
      </c>
      <c r="F305" s="2" t="s">
        <v>50</v>
      </c>
      <c r="G305" s="4" t="str">
        <f>IF(F305="Payment / Credit","Payment",IF(E305&lt;0,"Income","Spend"))</f>
        <v>Spend</v>
      </c>
    </row>
    <row r="306" spans="1:7" ht="15" hidden="1" customHeight="1" x14ac:dyDescent="0.3">
      <c r="A306" s="2" t="s">
        <v>7</v>
      </c>
      <c r="B306" s="3">
        <v>44359</v>
      </c>
      <c r="C306" s="4">
        <v>2021</v>
      </c>
      <c r="D306" s="2" t="s">
        <v>69</v>
      </c>
      <c r="E306" s="5">
        <v>9.6999999999999993</v>
      </c>
      <c r="F306" s="2" t="s">
        <v>9</v>
      </c>
      <c r="G306" s="4" t="str">
        <f>IF(F306="Payment / Credit","Payment",IF(E306&lt;0,"Income","Spend"))</f>
        <v>Spend</v>
      </c>
    </row>
    <row r="307" spans="1:7" ht="15" hidden="1" customHeight="1" x14ac:dyDescent="0.3">
      <c r="A307" s="2" t="s">
        <v>7</v>
      </c>
      <c r="B307" s="3">
        <v>44359</v>
      </c>
      <c r="C307" s="4">
        <v>2021</v>
      </c>
      <c r="D307" s="2" t="s">
        <v>136</v>
      </c>
      <c r="E307" s="5">
        <v>32.799999999999997</v>
      </c>
      <c r="F307" s="2" t="s">
        <v>123</v>
      </c>
      <c r="G307" s="4" t="str">
        <f>IF(F307="Payment / Credit","Payment",IF(E307&lt;0,"Income","Spend"))</f>
        <v>Spend</v>
      </c>
    </row>
    <row r="308" spans="1:7" ht="15" hidden="1" customHeight="1" x14ac:dyDescent="0.3">
      <c r="A308" s="2" t="s">
        <v>7</v>
      </c>
      <c r="B308" s="3">
        <v>44360</v>
      </c>
      <c r="C308" s="4">
        <v>2021</v>
      </c>
      <c r="D308" s="2" t="s">
        <v>10</v>
      </c>
      <c r="E308" s="5">
        <v>1.41</v>
      </c>
      <c r="F308" s="2" t="s">
        <v>11</v>
      </c>
      <c r="G308" s="4" t="str">
        <f>IF(F308="Payment / Credit","Payment",IF(E308&lt;0,"Income","Spend"))</f>
        <v>Spend</v>
      </c>
    </row>
    <row r="309" spans="1:7" ht="15" hidden="1" customHeight="1" x14ac:dyDescent="0.3">
      <c r="A309" s="2" t="s">
        <v>7</v>
      </c>
      <c r="B309" s="3">
        <v>44360</v>
      </c>
      <c r="C309" s="4">
        <v>2021</v>
      </c>
      <c r="D309" s="2" t="s">
        <v>136</v>
      </c>
      <c r="E309" s="5">
        <v>6.02</v>
      </c>
      <c r="F309" s="2" t="s">
        <v>123</v>
      </c>
      <c r="G309" s="4" t="str">
        <f>IF(F309="Payment / Credit","Payment",IF(E309&lt;0,"Income","Spend"))</f>
        <v>Spend</v>
      </c>
    </row>
    <row r="310" spans="1:7" ht="15" hidden="1" customHeight="1" x14ac:dyDescent="0.3">
      <c r="A310" s="2" t="s">
        <v>7</v>
      </c>
      <c r="B310" s="3">
        <v>44361</v>
      </c>
      <c r="C310" s="4">
        <v>2021</v>
      </c>
      <c r="D310" s="2" t="s">
        <v>112</v>
      </c>
      <c r="E310" s="5">
        <v>6.45</v>
      </c>
      <c r="F310" s="2" t="s">
        <v>17</v>
      </c>
      <c r="G310" s="4" t="str">
        <f>IF(F310="Payment / Credit","Payment",IF(E310&lt;0,"Income","Spend"))</f>
        <v>Spend</v>
      </c>
    </row>
    <row r="311" spans="1:7" ht="15" hidden="1" customHeight="1" x14ac:dyDescent="0.3">
      <c r="A311" s="2" t="s">
        <v>7</v>
      </c>
      <c r="B311" s="3">
        <v>44361</v>
      </c>
      <c r="C311" s="4">
        <v>2021</v>
      </c>
      <c r="D311" s="2" t="s">
        <v>10</v>
      </c>
      <c r="E311" s="5">
        <v>1.41</v>
      </c>
      <c r="F311" s="2" t="s">
        <v>11</v>
      </c>
      <c r="G311" s="4" t="str">
        <f>IF(F311="Payment / Credit","Payment",IF(E311&lt;0,"Income","Spend"))</f>
        <v>Spend</v>
      </c>
    </row>
    <row r="312" spans="1:7" ht="15" hidden="1" customHeight="1" x14ac:dyDescent="0.3">
      <c r="A312" s="2" t="s">
        <v>7</v>
      </c>
      <c r="B312" s="3">
        <v>44362</v>
      </c>
      <c r="C312" s="4">
        <v>2021</v>
      </c>
      <c r="D312" s="2" t="s">
        <v>10</v>
      </c>
      <c r="E312" s="5">
        <v>1.41</v>
      </c>
      <c r="F312" s="2" t="s">
        <v>11</v>
      </c>
      <c r="G312" s="4" t="str">
        <f>IF(F312="Payment / Credit","Payment",IF(E312&lt;0,"Income","Spend"))</f>
        <v>Spend</v>
      </c>
    </row>
    <row r="313" spans="1:7" ht="15" hidden="1" customHeight="1" x14ac:dyDescent="0.3">
      <c r="A313" s="2" t="s">
        <v>7</v>
      </c>
      <c r="B313" s="3">
        <v>44363</v>
      </c>
      <c r="C313" s="4">
        <v>2021</v>
      </c>
      <c r="D313" s="2" t="s">
        <v>137</v>
      </c>
      <c r="E313" s="5">
        <v>8.8800000000000008</v>
      </c>
      <c r="F313" s="2" t="s">
        <v>13</v>
      </c>
      <c r="G313" s="4" t="str">
        <f>IF(F313="Payment / Credit","Payment",IF(E313&lt;0,"Income","Spend"))</f>
        <v>Spend</v>
      </c>
    </row>
    <row r="314" spans="1:7" ht="15" hidden="1" customHeight="1" x14ac:dyDescent="0.3">
      <c r="A314" s="2" t="s">
        <v>7</v>
      </c>
      <c r="B314" s="3">
        <v>44365</v>
      </c>
      <c r="C314" s="4">
        <v>2021</v>
      </c>
      <c r="D314" s="2" t="s">
        <v>10</v>
      </c>
      <c r="E314" s="5">
        <v>3.04</v>
      </c>
      <c r="F314" s="2" t="s">
        <v>11</v>
      </c>
      <c r="G314" s="4" t="str">
        <f>IF(F314="Payment / Credit","Payment",IF(E314&lt;0,"Income","Spend"))</f>
        <v>Spend</v>
      </c>
    </row>
    <row r="315" spans="1:7" ht="15" hidden="1" customHeight="1" x14ac:dyDescent="0.3">
      <c r="A315" s="2" t="s">
        <v>7</v>
      </c>
      <c r="B315" s="3">
        <v>44366</v>
      </c>
      <c r="C315" s="4">
        <v>2021</v>
      </c>
      <c r="D315" s="2" t="s">
        <v>85</v>
      </c>
      <c r="E315" s="5">
        <v>4.4000000000000004</v>
      </c>
      <c r="F315" s="2" t="s">
        <v>13</v>
      </c>
      <c r="G315" s="4" t="str">
        <f>IF(F315="Payment / Credit","Payment",IF(E315&lt;0,"Income","Spend"))</f>
        <v>Spend</v>
      </c>
    </row>
    <row r="316" spans="1:7" ht="15" hidden="1" customHeight="1" x14ac:dyDescent="0.3">
      <c r="A316" s="2" t="s">
        <v>7</v>
      </c>
      <c r="B316" s="3">
        <v>44366</v>
      </c>
      <c r="C316" s="4">
        <v>2021</v>
      </c>
      <c r="D316" s="2" t="s">
        <v>138</v>
      </c>
      <c r="E316" s="5">
        <v>33.5</v>
      </c>
      <c r="F316" s="2" t="s">
        <v>11</v>
      </c>
      <c r="G316" s="4" t="str">
        <f>IF(F316="Payment / Credit","Payment",IF(E316&lt;0,"Income","Spend"))</f>
        <v>Spend</v>
      </c>
    </row>
    <row r="317" spans="1:7" ht="15" hidden="1" customHeight="1" x14ac:dyDescent="0.3">
      <c r="A317" s="2" t="s">
        <v>7</v>
      </c>
      <c r="B317" s="3">
        <v>44367</v>
      </c>
      <c r="C317" s="4">
        <v>2021</v>
      </c>
      <c r="D317" s="2" t="s">
        <v>139</v>
      </c>
      <c r="E317" s="5">
        <v>139.91</v>
      </c>
      <c r="F317" s="2" t="s">
        <v>17</v>
      </c>
      <c r="G317" s="4" t="str">
        <f>IF(F317="Payment / Credit","Payment",IF(E317&lt;0,"Income","Spend"))</f>
        <v>Spend</v>
      </c>
    </row>
    <row r="318" spans="1:7" ht="15" hidden="1" customHeight="1" x14ac:dyDescent="0.3">
      <c r="A318" s="2" t="s">
        <v>7</v>
      </c>
      <c r="B318" s="3">
        <v>44369</v>
      </c>
      <c r="C318" s="4">
        <v>2021</v>
      </c>
      <c r="D318" s="2" t="s">
        <v>140</v>
      </c>
      <c r="E318" s="5">
        <v>6.14</v>
      </c>
      <c r="F318" s="2" t="s">
        <v>17</v>
      </c>
      <c r="G318" s="4" t="str">
        <f>IF(F318="Payment / Credit","Payment",IF(E318&lt;0,"Income","Spend"))</f>
        <v>Spend</v>
      </c>
    </row>
    <row r="319" spans="1:7" ht="15" hidden="1" customHeight="1" x14ac:dyDescent="0.3">
      <c r="A319" s="2" t="s">
        <v>7</v>
      </c>
      <c r="B319" s="3">
        <v>44371</v>
      </c>
      <c r="C319" s="4">
        <v>2021</v>
      </c>
      <c r="D319" s="2" t="s">
        <v>69</v>
      </c>
      <c r="E319" s="5">
        <v>10.199999999999999</v>
      </c>
      <c r="F319" s="2" t="s">
        <v>9</v>
      </c>
      <c r="G319" s="4" t="str">
        <f>IF(F319="Payment / Credit","Payment",IF(E319&lt;0,"Income","Spend"))</f>
        <v>Spend</v>
      </c>
    </row>
    <row r="320" spans="1:7" ht="15" hidden="1" customHeight="1" x14ac:dyDescent="0.3">
      <c r="A320" s="2" t="s">
        <v>7</v>
      </c>
      <c r="B320" s="3">
        <v>44372</v>
      </c>
      <c r="C320" s="4">
        <v>2021</v>
      </c>
      <c r="D320" s="2" t="s">
        <v>69</v>
      </c>
      <c r="E320" s="5">
        <v>5</v>
      </c>
      <c r="F320" s="2" t="s">
        <v>9</v>
      </c>
      <c r="G320" s="4" t="str">
        <f>IF(F320="Payment / Credit","Payment",IF(E320&lt;0,"Income","Spend"))</f>
        <v>Spend</v>
      </c>
    </row>
    <row r="321" spans="1:7" ht="15" hidden="1" customHeight="1" x14ac:dyDescent="0.3">
      <c r="A321" s="2" t="s">
        <v>7</v>
      </c>
      <c r="B321" s="3">
        <v>44373</v>
      </c>
      <c r="C321" s="4">
        <v>2021</v>
      </c>
      <c r="D321" s="2" t="s">
        <v>10</v>
      </c>
      <c r="E321" s="5">
        <v>1.41</v>
      </c>
      <c r="F321" s="2" t="s">
        <v>11</v>
      </c>
      <c r="G321" s="4" t="str">
        <f>IF(F321="Payment / Credit","Payment",IF(E321&lt;0,"Income","Spend"))</f>
        <v>Spend</v>
      </c>
    </row>
    <row r="322" spans="1:7" ht="15" hidden="1" customHeight="1" x14ac:dyDescent="0.3">
      <c r="A322" s="2" t="s">
        <v>7</v>
      </c>
      <c r="B322" s="3">
        <v>44373</v>
      </c>
      <c r="C322" s="4">
        <v>2021</v>
      </c>
      <c r="D322" s="2" t="s">
        <v>141</v>
      </c>
      <c r="E322" s="5">
        <v>56.15</v>
      </c>
      <c r="F322" s="2" t="s">
        <v>43</v>
      </c>
      <c r="G322" s="4" t="str">
        <f>IF(F322="Payment / Credit","Payment",IF(E322&lt;0,"Income","Spend"))</f>
        <v>Spend</v>
      </c>
    </row>
    <row r="323" spans="1:7" ht="15" hidden="1" customHeight="1" x14ac:dyDescent="0.3">
      <c r="A323" s="2" t="s">
        <v>7</v>
      </c>
      <c r="B323" s="3">
        <v>44373</v>
      </c>
      <c r="C323" s="4">
        <v>2021</v>
      </c>
      <c r="D323" s="2" t="s">
        <v>142</v>
      </c>
      <c r="E323" s="5">
        <v>20.85</v>
      </c>
      <c r="F323" s="2" t="s">
        <v>13</v>
      </c>
      <c r="G323" s="4" t="str">
        <f>IF(F323="Payment / Credit","Payment",IF(E323&lt;0,"Income","Spend"))</f>
        <v>Spend</v>
      </c>
    </row>
    <row r="324" spans="1:7" ht="15" hidden="1" customHeight="1" x14ac:dyDescent="0.3">
      <c r="A324" s="2" t="s">
        <v>7</v>
      </c>
      <c r="B324" s="3">
        <v>44374</v>
      </c>
      <c r="C324" s="4">
        <v>2021</v>
      </c>
      <c r="D324" s="2" t="s">
        <v>126</v>
      </c>
      <c r="E324" s="5">
        <v>53.17</v>
      </c>
      <c r="F324" s="2" t="s">
        <v>9</v>
      </c>
      <c r="G324" s="4" t="str">
        <f>IF(F324="Payment / Credit","Payment",IF(E324&lt;0,"Income","Spend"))</f>
        <v>Spend</v>
      </c>
    </row>
    <row r="325" spans="1:7" ht="15" hidden="1" customHeight="1" x14ac:dyDescent="0.3">
      <c r="A325" s="2" t="s">
        <v>7</v>
      </c>
      <c r="B325" s="3">
        <v>44377</v>
      </c>
      <c r="C325" s="4">
        <v>2021</v>
      </c>
      <c r="D325" s="2" t="s">
        <v>44</v>
      </c>
      <c r="E325" s="5">
        <v>8.9</v>
      </c>
      <c r="F325" s="2" t="s">
        <v>17</v>
      </c>
      <c r="G325" s="4" t="str">
        <f>IF(F325="Payment / Credit","Payment",IF(E325&lt;0,"Income","Spend"))</f>
        <v>Spend</v>
      </c>
    </row>
    <row r="326" spans="1:7" ht="15" hidden="1" customHeight="1" x14ac:dyDescent="0.3">
      <c r="A326" s="2" t="s">
        <v>7</v>
      </c>
      <c r="B326" s="3">
        <v>44377</v>
      </c>
      <c r="C326" s="4">
        <v>2021</v>
      </c>
      <c r="D326" s="2" t="s">
        <v>10</v>
      </c>
      <c r="E326" s="5">
        <v>1.41</v>
      </c>
      <c r="F326" s="2" t="s">
        <v>11</v>
      </c>
      <c r="G326" s="4" t="str">
        <f>IF(F326="Payment / Credit","Payment",IF(E326&lt;0,"Income","Spend"))</f>
        <v>Spend</v>
      </c>
    </row>
    <row r="327" spans="1:7" ht="15" hidden="1" customHeight="1" x14ac:dyDescent="0.3">
      <c r="A327" s="2" t="s">
        <v>7</v>
      </c>
      <c r="B327" s="3">
        <v>44378</v>
      </c>
      <c r="C327" s="4">
        <v>2021</v>
      </c>
      <c r="D327" s="2" t="s">
        <v>69</v>
      </c>
      <c r="E327" s="5">
        <v>12.66</v>
      </c>
      <c r="F327" s="2" t="s">
        <v>9</v>
      </c>
      <c r="G327" s="4" t="str">
        <f>IF(F327="Payment / Credit","Payment",IF(E327&lt;0,"Income","Spend"))</f>
        <v>Spend</v>
      </c>
    </row>
    <row r="328" spans="1:7" ht="15" hidden="1" customHeight="1" x14ac:dyDescent="0.3">
      <c r="A328" s="2" t="s">
        <v>7</v>
      </c>
      <c r="B328" s="3">
        <v>44378</v>
      </c>
      <c r="C328" s="4">
        <v>2021</v>
      </c>
      <c r="D328" s="2" t="s">
        <v>57</v>
      </c>
      <c r="E328" s="5">
        <v>6.33</v>
      </c>
      <c r="F328" s="2" t="s">
        <v>17</v>
      </c>
      <c r="G328" s="4" t="str">
        <f>IF(F328="Payment / Credit","Payment",IF(E328&lt;0,"Income","Spend"))</f>
        <v>Spend</v>
      </c>
    </row>
    <row r="329" spans="1:7" ht="15" hidden="1" customHeight="1" x14ac:dyDescent="0.3">
      <c r="A329" s="2" t="s">
        <v>7</v>
      </c>
      <c r="B329" s="3">
        <v>44378</v>
      </c>
      <c r="C329" s="4">
        <v>2021</v>
      </c>
      <c r="D329" s="2" t="s">
        <v>10</v>
      </c>
      <c r="E329" s="5">
        <v>1.41</v>
      </c>
      <c r="F329" s="2" t="s">
        <v>11</v>
      </c>
      <c r="G329" s="4" t="str">
        <f>IF(F329="Payment / Credit","Payment",IF(E329&lt;0,"Income","Spend"))</f>
        <v>Spend</v>
      </c>
    </row>
    <row r="330" spans="1:7" ht="15" hidden="1" customHeight="1" x14ac:dyDescent="0.3">
      <c r="A330" s="2" t="s">
        <v>7</v>
      </c>
      <c r="B330" s="3">
        <v>44379</v>
      </c>
      <c r="C330" s="4">
        <v>2021</v>
      </c>
      <c r="D330" s="2" t="s">
        <v>10</v>
      </c>
      <c r="E330" s="5">
        <v>1.41</v>
      </c>
      <c r="F330" s="2" t="s">
        <v>11</v>
      </c>
      <c r="G330" s="4" t="str">
        <f>IF(F330="Payment / Credit","Payment",IF(E330&lt;0,"Income","Spend"))</f>
        <v>Spend</v>
      </c>
    </row>
    <row r="331" spans="1:7" ht="15" hidden="1" customHeight="1" x14ac:dyDescent="0.3">
      <c r="A331" s="2" t="s">
        <v>7</v>
      </c>
      <c r="B331" s="3">
        <v>44379</v>
      </c>
      <c r="C331" s="4">
        <v>2021</v>
      </c>
      <c r="D331" s="2" t="s">
        <v>140</v>
      </c>
      <c r="E331" s="5">
        <v>6.25</v>
      </c>
      <c r="F331" s="2" t="s">
        <v>17</v>
      </c>
      <c r="G331" s="4" t="str">
        <f>IF(F331="Payment / Credit","Payment",IF(E331&lt;0,"Income","Spend"))</f>
        <v>Spend</v>
      </c>
    </row>
    <row r="332" spans="1:7" ht="15" hidden="1" customHeight="1" x14ac:dyDescent="0.3">
      <c r="A332" s="2" t="s">
        <v>7</v>
      </c>
      <c r="B332" s="3">
        <v>44380</v>
      </c>
      <c r="C332" s="4">
        <v>2021</v>
      </c>
      <c r="D332" s="2" t="s">
        <v>58</v>
      </c>
      <c r="E332" s="5">
        <v>24.77</v>
      </c>
      <c r="F332" s="2" t="s">
        <v>13</v>
      </c>
      <c r="G332" s="4" t="str">
        <f>IF(F332="Payment / Credit","Payment",IF(E332&lt;0,"Income","Spend"))</f>
        <v>Spend</v>
      </c>
    </row>
    <row r="333" spans="1:7" ht="15" hidden="1" customHeight="1" x14ac:dyDescent="0.3">
      <c r="A333" s="2" t="s">
        <v>7</v>
      </c>
      <c r="B333" s="3">
        <v>44380</v>
      </c>
      <c r="C333" s="4">
        <v>2021</v>
      </c>
      <c r="D333" s="2" t="s">
        <v>10</v>
      </c>
      <c r="E333" s="5">
        <v>1.41</v>
      </c>
      <c r="F333" s="2" t="s">
        <v>11</v>
      </c>
      <c r="G333" s="4" t="str">
        <f>IF(F333="Payment / Credit","Payment",IF(E333&lt;0,"Income","Spend"))</f>
        <v>Spend</v>
      </c>
    </row>
    <row r="334" spans="1:7" ht="15" hidden="1" customHeight="1" x14ac:dyDescent="0.3">
      <c r="A334" s="2" t="s">
        <v>7</v>
      </c>
      <c r="B334" s="3">
        <v>44382</v>
      </c>
      <c r="C334" s="4">
        <v>2021</v>
      </c>
      <c r="D334" s="2" t="s">
        <v>52</v>
      </c>
      <c r="E334" s="5">
        <v>9.18</v>
      </c>
      <c r="F334" s="2" t="s">
        <v>9</v>
      </c>
      <c r="G334" s="4" t="str">
        <f>IF(F334="Payment / Credit","Payment",IF(E334&lt;0,"Income","Spend"))</f>
        <v>Spend</v>
      </c>
    </row>
    <row r="335" spans="1:7" ht="15" hidden="1" customHeight="1" x14ac:dyDescent="0.3">
      <c r="A335" s="2" t="s">
        <v>7</v>
      </c>
      <c r="B335" s="3">
        <v>44382</v>
      </c>
      <c r="C335" s="4">
        <v>2021</v>
      </c>
      <c r="D335" s="2" t="s">
        <v>35</v>
      </c>
      <c r="E335" s="5">
        <v>20.68</v>
      </c>
      <c r="F335" s="2" t="s">
        <v>9</v>
      </c>
      <c r="G335" s="4" t="str">
        <f>IF(F335="Payment / Credit","Payment",IF(E335&lt;0,"Income","Spend"))</f>
        <v>Spend</v>
      </c>
    </row>
    <row r="336" spans="1:7" ht="15" hidden="1" customHeight="1" x14ac:dyDescent="0.3">
      <c r="A336" s="2" t="s">
        <v>7</v>
      </c>
      <c r="B336" s="3">
        <v>44382</v>
      </c>
      <c r="C336" s="4">
        <v>2021</v>
      </c>
      <c r="D336" s="2" t="s">
        <v>51</v>
      </c>
      <c r="E336" s="5">
        <v>10.23</v>
      </c>
      <c r="F336" s="2" t="s">
        <v>9</v>
      </c>
      <c r="G336" s="4" t="str">
        <f>IF(F336="Payment / Credit","Payment",IF(E336&lt;0,"Income","Spend"))</f>
        <v>Spend</v>
      </c>
    </row>
    <row r="337" spans="1:7" ht="15" hidden="1" customHeight="1" x14ac:dyDescent="0.3">
      <c r="A337" s="2" t="s">
        <v>7</v>
      </c>
      <c r="B337" s="3">
        <v>44382</v>
      </c>
      <c r="C337" s="4">
        <v>2021</v>
      </c>
      <c r="D337" s="2" t="s">
        <v>69</v>
      </c>
      <c r="E337" s="5">
        <v>9.92</v>
      </c>
      <c r="F337" s="2" t="s">
        <v>9</v>
      </c>
      <c r="G337" s="4" t="str">
        <f>IF(F337="Payment / Credit","Payment",IF(E337&lt;0,"Income","Spend"))</f>
        <v>Spend</v>
      </c>
    </row>
    <row r="338" spans="1:7" ht="15" hidden="1" customHeight="1" x14ac:dyDescent="0.3">
      <c r="A338" s="2" t="s">
        <v>7</v>
      </c>
      <c r="B338" s="3">
        <v>44383</v>
      </c>
      <c r="C338" s="4">
        <v>2021</v>
      </c>
      <c r="D338" s="2" t="s">
        <v>60</v>
      </c>
      <c r="E338" s="5">
        <v>5.72</v>
      </c>
      <c r="F338" s="2" t="s">
        <v>13</v>
      </c>
      <c r="G338" s="4" t="str">
        <f>IF(F338="Payment / Credit","Payment",IF(E338&lt;0,"Income","Spend"))</f>
        <v>Spend</v>
      </c>
    </row>
    <row r="339" spans="1:7" ht="15" hidden="1" customHeight="1" x14ac:dyDescent="0.3">
      <c r="A339" s="2" t="s">
        <v>7</v>
      </c>
      <c r="B339" s="3">
        <v>44383</v>
      </c>
      <c r="C339" s="4">
        <v>2021</v>
      </c>
      <c r="D339" s="2" t="s">
        <v>35</v>
      </c>
      <c r="E339" s="5">
        <v>6.8</v>
      </c>
      <c r="F339" s="2" t="s">
        <v>9</v>
      </c>
      <c r="G339" s="4" t="str">
        <f>IF(F339="Payment / Credit","Payment",IF(E339&lt;0,"Income","Spend"))</f>
        <v>Spend</v>
      </c>
    </row>
    <row r="340" spans="1:7" ht="15" hidden="1" customHeight="1" x14ac:dyDescent="0.3">
      <c r="A340" s="2" t="s">
        <v>7</v>
      </c>
      <c r="B340" s="3">
        <v>44384</v>
      </c>
      <c r="C340" s="4">
        <v>2021</v>
      </c>
      <c r="D340" s="2" t="s">
        <v>81</v>
      </c>
      <c r="E340" s="5">
        <v>8.51</v>
      </c>
      <c r="F340" s="2" t="s">
        <v>17</v>
      </c>
      <c r="G340" s="4" t="str">
        <f>IF(F340="Payment / Credit","Payment",IF(E340&lt;0,"Income","Spend"))</f>
        <v>Spend</v>
      </c>
    </row>
    <row r="341" spans="1:7" ht="15" hidden="1" customHeight="1" x14ac:dyDescent="0.3">
      <c r="A341" s="2" t="s">
        <v>7</v>
      </c>
      <c r="B341" s="3">
        <v>44384</v>
      </c>
      <c r="C341" s="4">
        <v>2021</v>
      </c>
      <c r="D341" s="2" t="s">
        <v>10</v>
      </c>
      <c r="E341" s="5">
        <v>1.41</v>
      </c>
      <c r="F341" s="2" t="s">
        <v>11</v>
      </c>
      <c r="G341" s="4" t="str">
        <f>IF(F341="Payment / Credit","Payment",IF(E341&lt;0,"Income","Spend"))</f>
        <v>Spend</v>
      </c>
    </row>
    <row r="342" spans="1:7" ht="15" hidden="1" customHeight="1" x14ac:dyDescent="0.3">
      <c r="A342" s="2" t="s">
        <v>7</v>
      </c>
      <c r="B342" s="3">
        <v>44386</v>
      </c>
      <c r="C342" s="4">
        <v>2021</v>
      </c>
      <c r="D342" s="2" t="s">
        <v>44</v>
      </c>
      <c r="E342" s="5">
        <v>8.9</v>
      </c>
      <c r="F342" s="2" t="s">
        <v>17</v>
      </c>
      <c r="G342" s="4" t="str">
        <f>IF(F342="Payment / Credit","Payment",IF(E342&lt;0,"Income","Spend"))</f>
        <v>Spend</v>
      </c>
    </row>
    <row r="343" spans="1:7" ht="15" hidden="1" customHeight="1" x14ac:dyDescent="0.3">
      <c r="A343" s="2" t="s">
        <v>7</v>
      </c>
      <c r="B343" s="3">
        <v>44387</v>
      </c>
      <c r="C343" s="4">
        <v>2021</v>
      </c>
      <c r="D343" s="2" t="s">
        <v>140</v>
      </c>
      <c r="E343" s="5">
        <v>2.5099999999999998</v>
      </c>
      <c r="F343" s="2" t="s">
        <v>17</v>
      </c>
      <c r="G343" s="4" t="str">
        <f>IF(F343="Payment / Credit","Payment",IF(E343&lt;0,"Income","Spend"))</f>
        <v>Spend</v>
      </c>
    </row>
    <row r="344" spans="1:7" ht="15" hidden="1" customHeight="1" x14ac:dyDescent="0.3">
      <c r="A344" s="2" t="s">
        <v>7</v>
      </c>
      <c r="B344" s="3">
        <v>44387</v>
      </c>
      <c r="C344" s="4">
        <v>2021</v>
      </c>
      <c r="D344" s="2" t="s">
        <v>126</v>
      </c>
      <c r="E344" s="5">
        <v>27.61</v>
      </c>
      <c r="F344" s="2" t="s">
        <v>9</v>
      </c>
      <c r="G344" s="4" t="str">
        <f>IF(F344="Payment / Credit","Payment",IF(E344&lt;0,"Income","Spend"))</f>
        <v>Spend</v>
      </c>
    </row>
    <row r="345" spans="1:7" ht="15" hidden="1" customHeight="1" x14ac:dyDescent="0.3">
      <c r="A345" s="2" t="s">
        <v>7</v>
      </c>
      <c r="B345" s="3">
        <v>44387</v>
      </c>
      <c r="C345" s="4">
        <v>2021</v>
      </c>
      <c r="D345" s="2" t="s">
        <v>10</v>
      </c>
      <c r="E345" s="5">
        <v>3.44</v>
      </c>
      <c r="F345" s="2" t="s">
        <v>11</v>
      </c>
      <c r="G345" s="4" t="str">
        <f>IF(F345="Payment / Credit","Payment",IF(E345&lt;0,"Income","Spend"))</f>
        <v>Spend</v>
      </c>
    </row>
    <row r="346" spans="1:7" ht="15" hidden="1" customHeight="1" x14ac:dyDescent="0.3">
      <c r="A346" s="2" t="s">
        <v>7</v>
      </c>
      <c r="B346" s="3">
        <v>44388</v>
      </c>
      <c r="C346" s="4">
        <v>2021</v>
      </c>
      <c r="D346" s="2" t="s">
        <v>10</v>
      </c>
      <c r="E346" s="5">
        <v>3.04</v>
      </c>
      <c r="F346" s="2" t="s">
        <v>11</v>
      </c>
      <c r="G346" s="4" t="str">
        <f>IF(F346="Payment / Credit","Payment",IF(E346&lt;0,"Income","Spend"))</f>
        <v>Spend</v>
      </c>
    </row>
    <row r="347" spans="1:7" ht="15" hidden="1" customHeight="1" x14ac:dyDescent="0.3">
      <c r="A347" s="2" t="s">
        <v>7</v>
      </c>
      <c r="B347" s="3">
        <v>44389</v>
      </c>
      <c r="C347" s="4">
        <v>2021</v>
      </c>
      <c r="D347" s="2" t="s">
        <v>46</v>
      </c>
      <c r="E347" s="5">
        <v>-299.5</v>
      </c>
      <c r="F347" s="2" t="s">
        <v>47</v>
      </c>
      <c r="G347" s="4" t="str">
        <f>IF(F347="Payment / Credit","Payment",IF(E347&lt;0,"Income","Spend"))</f>
        <v>Payment</v>
      </c>
    </row>
    <row r="348" spans="1:7" ht="15" hidden="1" customHeight="1" x14ac:dyDescent="0.3">
      <c r="A348" s="2" t="s">
        <v>7</v>
      </c>
      <c r="B348" s="3">
        <v>44390</v>
      </c>
      <c r="C348" s="4">
        <v>2021</v>
      </c>
      <c r="D348" s="2" t="s">
        <v>69</v>
      </c>
      <c r="E348" s="5">
        <v>7.62</v>
      </c>
      <c r="F348" s="2" t="s">
        <v>9</v>
      </c>
      <c r="G348" s="4" t="str">
        <f>IF(F348="Payment / Credit","Payment",IF(E348&lt;0,"Income","Spend"))</f>
        <v>Spend</v>
      </c>
    </row>
    <row r="349" spans="1:7" ht="15" hidden="1" customHeight="1" x14ac:dyDescent="0.3">
      <c r="A349" s="2" t="s">
        <v>7</v>
      </c>
      <c r="B349" s="3">
        <v>44391</v>
      </c>
      <c r="C349" s="4">
        <v>2021</v>
      </c>
      <c r="D349" s="2" t="s">
        <v>78</v>
      </c>
      <c r="E349" s="5">
        <v>14.44</v>
      </c>
      <c r="F349" s="2" t="s">
        <v>17</v>
      </c>
      <c r="G349" s="4" t="str">
        <f>IF(F349="Payment / Credit","Payment",IF(E349&lt;0,"Income","Spend"))</f>
        <v>Spend</v>
      </c>
    </row>
    <row r="350" spans="1:7" ht="15" hidden="1" customHeight="1" x14ac:dyDescent="0.3">
      <c r="A350" s="2" t="s">
        <v>7</v>
      </c>
      <c r="B350" s="3">
        <v>44391</v>
      </c>
      <c r="C350" s="4">
        <v>2021</v>
      </c>
      <c r="D350" s="2" t="s">
        <v>60</v>
      </c>
      <c r="E350" s="5">
        <v>20.350000000000001</v>
      </c>
      <c r="F350" s="2" t="s">
        <v>13</v>
      </c>
      <c r="G350" s="4" t="str">
        <f>IF(F350="Payment / Credit","Payment",IF(E350&lt;0,"Income","Spend"))</f>
        <v>Spend</v>
      </c>
    </row>
    <row r="351" spans="1:7" ht="15" hidden="1" customHeight="1" x14ac:dyDescent="0.3">
      <c r="A351" s="2" t="s">
        <v>7</v>
      </c>
      <c r="B351" s="3">
        <v>44392</v>
      </c>
      <c r="C351" s="4">
        <v>2021</v>
      </c>
      <c r="D351" s="2" t="s">
        <v>10</v>
      </c>
      <c r="E351" s="5">
        <v>1.41</v>
      </c>
      <c r="F351" s="2" t="s">
        <v>11</v>
      </c>
      <c r="G351" s="4" t="str">
        <f>IF(F351="Payment / Credit","Payment",IF(E351&lt;0,"Income","Spend"))</f>
        <v>Spend</v>
      </c>
    </row>
    <row r="352" spans="1:7" ht="15" hidden="1" customHeight="1" x14ac:dyDescent="0.3">
      <c r="A352" s="2" t="s">
        <v>7</v>
      </c>
      <c r="B352" s="3">
        <v>44394</v>
      </c>
      <c r="C352" s="4">
        <v>2021</v>
      </c>
      <c r="D352" s="2" t="s">
        <v>143</v>
      </c>
      <c r="E352" s="5">
        <v>4.3600000000000003</v>
      </c>
      <c r="F352" s="2" t="s">
        <v>123</v>
      </c>
      <c r="G352" s="4" t="str">
        <f>IF(F352="Payment / Credit","Payment",IF(E352&lt;0,"Income","Spend"))</f>
        <v>Spend</v>
      </c>
    </row>
    <row r="353" spans="1:7" ht="15" hidden="1" customHeight="1" x14ac:dyDescent="0.3">
      <c r="A353" s="2" t="s">
        <v>7</v>
      </c>
      <c r="B353" s="3">
        <v>44394</v>
      </c>
      <c r="C353" s="4">
        <v>2021</v>
      </c>
      <c r="D353" s="2" t="s">
        <v>63</v>
      </c>
      <c r="E353" s="5">
        <v>11.23</v>
      </c>
      <c r="F353" s="2" t="s">
        <v>9</v>
      </c>
      <c r="G353" s="4" t="str">
        <f>IF(F353="Payment / Credit","Payment",IF(E353&lt;0,"Income","Spend"))</f>
        <v>Spend</v>
      </c>
    </row>
    <row r="354" spans="1:7" ht="15" hidden="1" customHeight="1" x14ac:dyDescent="0.3">
      <c r="A354" s="2" t="s">
        <v>7</v>
      </c>
      <c r="B354" s="3">
        <v>44394</v>
      </c>
      <c r="C354" s="4">
        <v>2021</v>
      </c>
      <c r="D354" s="2" t="s">
        <v>125</v>
      </c>
      <c r="E354" s="5">
        <v>46.43</v>
      </c>
      <c r="F354" s="2" t="s">
        <v>11</v>
      </c>
      <c r="G354" s="4" t="str">
        <f>IF(F354="Payment / Credit","Payment",IF(E354&lt;0,"Income","Spend"))</f>
        <v>Spend</v>
      </c>
    </row>
    <row r="355" spans="1:7" ht="15" hidden="1" customHeight="1" x14ac:dyDescent="0.3">
      <c r="A355" s="2" t="s">
        <v>7</v>
      </c>
      <c r="B355" s="3">
        <v>44394</v>
      </c>
      <c r="C355" s="4">
        <v>2021</v>
      </c>
      <c r="D355" s="2" t="s">
        <v>144</v>
      </c>
      <c r="E355" s="5">
        <v>6.59</v>
      </c>
      <c r="F355" s="2" t="s">
        <v>17</v>
      </c>
      <c r="G355" s="4" t="str">
        <f>IF(F355="Payment / Credit","Payment",IF(E355&lt;0,"Income","Spend"))</f>
        <v>Spend</v>
      </c>
    </row>
    <row r="356" spans="1:7" ht="15" hidden="1" customHeight="1" x14ac:dyDescent="0.3">
      <c r="A356" s="2" t="s">
        <v>7</v>
      </c>
      <c r="B356" s="3">
        <v>44395</v>
      </c>
      <c r="C356" s="4">
        <v>2021</v>
      </c>
      <c r="D356" s="2" t="s">
        <v>51</v>
      </c>
      <c r="E356" s="5">
        <v>10.64</v>
      </c>
      <c r="F356" s="2" t="s">
        <v>9</v>
      </c>
      <c r="G356" s="4" t="str">
        <f>IF(F356="Payment / Credit","Payment",IF(E356&lt;0,"Income","Spend"))</f>
        <v>Spend</v>
      </c>
    </row>
    <row r="357" spans="1:7" ht="15" hidden="1" customHeight="1" x14ac:dyDescent="0.3">
      <c r="A357" s="2" t="s">
        <v>7</v>
      </c>
      <c r="B357" s="3">
        <v>44395</v>
      </c>
      <c r="C357" s="4">
        <v>2021</v>
      </c>
      <c r="D357" s="2" t="s">
        <v>126</v>
      </c>
      <c r="E357" s="5">
        <v>29.65</v>
      </c>
      <c r="F357" s="2" t="s">
        <v>9</v>
      </c>
      <c r="G357" s="4" t="str">
        <f>IF(F357="Payment / Credit","Payment",IF(E357&lt;0,"Income","Spend"))</f>
        <v>Spend</v>
      </c>
    </row>
    <row r="358" spans="1:7" ht="15" hidden="1" customHeight="1" x14ac:dyDescent="0.3">
      <c r="A358" s="2" t="s">
        <v>7</v>
      </c>
      <c r="B358" s="3">
        <v>44397</v>
      </c>
      <c r="C358" s="4">
        <v>2021</v>
      </c>
      <c r="D358" s="2" t="s">
        <v>69</v>
      </c>
      <c r="E358" s="5">
        <v>8.2799999999999994</v>
      </c>
      <c r="F358" s="2" t="s">
        <v>9</v>
      </c>
      <c r="G358" s="4" t="str">
        <f>IF(F358="Payment / Credit","Payment",IF(E358&lt;0,"Income","Spend"))</f>
        <v>Spend</v>
      </c>
    </row>
    <row r="359" spans="1:7" ht="15" hidden="1" customHeight="1" x14ac:dyDescent="0.3">
      <c r="A359" s="2" t="s">
        <v>7</v>
      </c>
      <c r="B359" s="3">
        <v>44397</v>
      </c>
      <c r="C359" s="4">
        <v>2021</v>
      </c>
      <c r="D359" s="2" t="s">
        <v>10</v>
      </c>
      <c r="E359" s="5">
        <v>3.47</v>
      </c>
      <c r="F359" s="2" t="s">
        <v>11</v>
      </c>
      <c r="G359" s="4" t="str">
        <f>IF(F359="Payment / Credit","Payment",IF(E359&lt;0,"Income","Spend"))</f>
        <v>Spend</v>
      </c>
    </row>
    <row r="360" spans="1:7" ht="15" hidden="1" customHeight="1" x14ac:dyDescent="0.3">
      <c r="A360" s="2" t="s">
        <v>7</v>
      </c>
      <c r="B360" s="3">
        <v>44400</v>
      </c>
      <c r="C360" s="4">
        <v>2021</v>
      </c>
      <c r="D360" s="2" t="s">
        <v>81</v>
      </c>
      <c r="E360" s="5">
        <v>8.51</v>
      </c>
      <c r="F360" s="2" t="s">
        <v>17</v>
      </c>
      <c r="G360" s="4" t="str">
        <f>IF(F360="Payment / Credit","Payment",IF(E360&lt;0,"Income","Spend"))</f>
        <v>Spend</v>
      </c>
    </row>
    <row r="361" spans="1:7" ht="15" hidden="1" customHeight="1" x14ac:dyDescent="0.3">
      <c r="A361" s="2" t="s">
        <v>7</v>
      </c>
      <c r="B361" s="3">
        <v>44401</v>
      </c>
      <c r="C361" s="4">
        <v>2021</v>
      </c>
      <c r="D361" s="2" t="s">
        <v>69</v>
      </c>
      <c r="E361" s="5">
        <v>7.35</v>
      </c>
      <c r="F361" s="2" t="s">
        <v>9</v>
      </c>
      <c r="G361" s="4" t="str">
        <f>IF(F361="Payment / Credit","Payment",IF(E361&lt;0,"Income","Spend"))</f>
        <v>Spend</v>
      </c>
    </row>
    <row r="362" spans="1:7" ht="15" hidden="1" customHeight="1" x14ac:dyDescent="0.3">
      <c r="A362" s="2" t="s">
        <v>7</v>
      </c>
      <c r="B362" s="3">
        <v>44401</v>
      </c>
      <c r="C362" s="4">
        <v>2021</v>
      </c>
      <c r="D362" s="2" t="s">
        <v>69</v>
      </c>
      <c r="E362" s="5">
        <v>8.32</v>
      </c>
      <c r="F362" s="2" t="s">
        <v>9</v>
      </c>
      <c r="G362" s="4" t="str">
        <f>IF(F362="Payment / Credit","Payment",IF(E362&lt;0,"Income","Spend"))</f>
        <v>Spend</v>
      </c>
    </row>
    <row r="363" spans="1:7" ht="15" hidden="1" customHeight="1" x14ac:dyDescent="0.3">
      <c r="A363" s="2" t="s">
        <v>7</v>
      </c>
      <c r="B363" s="3">
        <v>44402</v>
      </c>
      <c r="C363" s="4">
        <v>2021</v>
      </c>
      <c r="D363" s="2" t="s">
        <v>126</v>
      </c>
      <c r="E363" s="5">
        <v>32.11</v>
      </c>
      <c r="F363" s="2" t="s">
        <v>9</v>
      </c>
      <c r="G363" s="4" t="str">
        <f>IF(F363="Payment / Credit","Payment",IF(E363&lt;0,"Income","Spend"))</f>
        <v>Spend</v>
      </c>
    </row>
    <row r="364" spans="1:7" ht="15" hidden="1" customHeight="1" x14ac:dyDescent="0.3">
      <c r="A364" s="2" t="s">
        <v>7</v>
      </c>
      <c r="B364" s="3">
        <v>44404</v>
      </c>
      <c r="C364" s="4">
        <v>2021</v>
      </c>
      <c r="D364" s="2" t="s">
        <v>60</v>
      </c>
      <c r="E364" s="5">
        <v>23.13</v>
      </c>
      <c r="F364" s="2" t="s">
        <v>13</v>
      </c>
      <c r="G364" s="4" t="str">
        <f>IF(F364="Payment / Credit","Payment",IF(E364&lt;0,"Income","Spend"))</f>
        <v>Spend</v>
      </c>
    </row>
    <row r="365" spans="1:7" ht="15" hidden="1" customHeight="1" x14ac:dyDescent="0.3">
      <c r="A365" s="2" t="s">
        <v>7</v>
      </c>
      <c r="B365" s="3">
        <v>44404</v>
      </c>
      <c r="C365" s="4">
        <v>2021</v>
      </c>
      <c r="D365" s="2" t="s">
        <v>69</v>
      </c>
      <c r="E365" s="5">
        <v>4.99</v>
      </c>
      <c r="F365" s="2" t="s">
        <v>9</v>
      </c>
      <c r="G365" s="4" t="str">
        <f>IF(F365="Payment / Credit","Payment",IF(E365&lt;0,"Income","Spend"))</f>
        <v>Spend</v>
      </c>
    </row>
    <row r="366" spans="1:7" ht="15" hidden="1" customHeight="1" x14ac:dyDescent="0.3">
      <c r="A366" s="2" t="s">
        <v>7</v>
      </c>
      <c r="B366" s="3">
        <v>44405</v>
      </c>
      <c r="C366" s="4">
        <v>2021</v>
      </c>
      <c r="D366" s="2" t="s">
        <v>145</v>
      </c>
      <c r="E366" s="5">
        <v>36.71</v>
      </c>
      <c r="F366" s="2" t="s">
        <v>13</v>
      </c>
      <c r="G366" s="4" t="str">
        <f>IF(F366="Payment / Credit","Payment",IF(E366&lt;0,"Income","Spend"))</f>
        <v>Spend</v>
      </c>
    </row>
    <row r="367" spans="1:7" ht="15" hidden="1" customHeight="1" x14ac:dyDescent="0.3">
      <c r="A367" s="2" t="s">
        <v>7</v>
      </c>
      <c r="B367" s="3">
        <v>44405</v>
      </c>
      <c r="C367" s="4">
        <v>2021</v>
      </c>
      <c r="D367" s="2" t="s">
        <v>66</v>
      </c>
      <c r="E367" s="5">
        <v>9.8000000000000007</v>
      </c>
      <c r="F367" s="2" t="s">
        <v>13</v>
      </c>
      <c r="G367" s="4" t="str">
        <f>IF(F367="Payment / Credit","Payment",IF(E367&lt;0,"Income","Spend"))</f>
        <v>Spend</v>
      </c>
    </row>
    <row r="368" spans="1:7" ht="15" hidden="1" customHeight="1" x14ac:dyDescent="0.3">
      <c r="A368" s="2" t="s">
        <v>7</v>
      </c>
      <c r="B368" s="3">
        <v>44405</v>
      </c>
      <c r="C368" s="4">
        <v>2021</v>
      </c>
      <c r="D368" s="2" t="s">
        <v>146</v>
      </c>
      <c r="E368" s="5">
        <v>9.56</v>
      </c>
      <c r="F368" s="2" t="s">
        <v>17</v>
      </c>
      <c r="G368" s="4" t="str">
        <f>IF(F368="Payment / Credit","Payment",IF(E368&lt;0,"Income","Spend"))</f>
        <v>Spend</v>
      </c>
    </row>
    <row r="369" spans="1:7" ht="15" hidden="1" customHeight="1" x14ac:dyDescent="0.3">
      <c r="A369" s="2" t="s">
        <v>7</v>
      </c>
      <c r="B369" s="3">
        <v>44405</v>
      </c>
      <c r="C369" s="4">
        <v>2021</v>
      </c>
      <c r="D369" s="2" t="s">
        <v>10</v>
      </c>
      <c r="E369" s="5">
        <v>1.73</v>
      </c>
      <c r="F369" s="2" t="s">
        <v>11</v>
      </c>
      <c r="G369" s="4" t="str">
        <f>IF(F369="Payment / Credit","Payment",IF(E369&lt;0,"Income","Spend"))</f>
        <v>Spend</v>
      </c>
    </row>
    <row r="370" spans="1:7" ht="15" hidden="1" customHeight="1" x14ac:dyDescent="0.3">
      <c r="A370" s="2" t="s">
        <v>7</v>
      </c>
      <c r="B370" s="3">
        <v>44407</v>
      </c>
      <c r="C370" s="4">
        <v>2021</v>
      </c>
      <c r="D370" s="2" t="s">
        <v>61</v>
      </c>
      <c r="E370" s="5">
        <v>6.57</v>
      </c>
      <c r="F370" s="2" t="s">
        <v>17</v>
      </c>
      <c r="G370" s="4" t="str">
        <f>IF(F370="Payment / Credit","Payment",IF(E370&lt;0,"Income","Spend"))</f>
        <v>Spend</v>
      </c>
    </row>
    <row r="371" spans="1:7" ht="15" hidden="1" customHeight="1" x14ac:dyDescent="0.3">
      <c r="A371" s="2" t="s">
        <v>7</v>
      </c>
      <c r="B371" s="3">
        <v>44408</v>
      </c>
      <c r="C371" s="4">
        <v>2021</v>
      </c>
      <c r="D371" s="2" t="s">
        <v>10</v>
      </c>
      <c r="E371" s="5">
        <v>4.34</v>
      </c>
      <c r="F371" s="2" t="s">
        <v>11</v>
      </c>
      <c r="G371" s="4" t="str">
        <f>IF(F371="Payment / Credit","Payment",IF(E371&lt;0,"Income","Spend"))</f>
        <v>Spend</v>
      </c>
    </row>
    <row r="372" spans="1:7" ht="15" hidden="1" customHeight="1" x14ac:dyDescent="0.3">
      <c r="A372" s="2" t="s">
        <v>7</v>
      </c>
      <c r="B372" s="3">
        <v>44409</v>
      </c>
      <c r="C372" s="4">
        <v>2021</v>
      </c>
      <c r="D372" s="2" t="s">
        <v>126</v>
      </c>
      <c r="E372" s="5">
        <v>32.11</v>
      </c>
      <c r="F372" s="2" t="s">
        <v>9</v>
      </c>
      <c r="G372" s="4" t="str">
        <f>IF(F372="Payment / Credit","Payment",IF(E372&lt;0,"Income","Spend"))</f>
        <v>Spend</v>
      </c>
    </row>
    <row r="373" spans="1:7" ht="15" hidden="1" customHeight="1" x14ac:dyDescent="0.3">
      <c r="A373" s="2" t="s">
        <v>7</v>
      </c>
      <c r="B373" s="3">
        <v>44410</v>
      </c>
      <c r="C373" s="4">
        <v>2021</v>
      </c>
      <c r="D373" s="2" t="s">
        <v>147</v>
      </c>
      <c r="E373" s="5">
        <v>8.52</v>
      </c>
      <c r="F373" s="2" t="s">
        <v>17</v>
      </c>
      <c r="G373" s="4" t="str">
        <f>IF(F373="Payment / Credit","Payment",IF(E373&lt;0,"Income","Spend"))</f>
        <v>Spend</v>
      </c>
    </row>
    <row r="374" spans="1:7" ht="15" hidden="1" customHeight="1" x14ac:dyDescent="0.3">
      <c r="A374" s="2" t="s">
        <v>7</v>
      </c>
      <c r="B374" s="3">
        <v>44410</v>
      </c>
      <c r="C374" s="4">
        <v>2021</v>
      </c>
      <c r="D374" s="2" t="s">
        <v>148</v>
      </c>
      <c r="E374" s="5">
        <v>66.92</v>
      </c>
      <c r="F374" s="2" t="s">
        <v>123</v>
      </c>
      <c r="G374" s="4" t="str">
        <f>IF(F374="Payment / Credit","Payment",IF(E374&lt;0,"Income","Spend"))</f>
        <v>Spend</v>
      </c>
    </row>
    <row r="375" spans="1:7" ht="15" hidden="1" customHeight="1" x14ac:dyDescent="0.3">
      <c r="A375" s="2" t="s">
        <v>7</v>
      </c>
      <c r="B375" s="3">
        <v>44410</v>
      </c>
      <c r="C375" s="4">
        <v>2021</v>
      </c>
      <c r="D375" s="2" t="s">
        <v>149</v>
      </c>
      <c r="E375" s="5">
        <v>11.37</v>
      </c>
      <c r="F375" s="2" t="s">
        <v>11</v>
      </c>
      <c r="G375" s="4" t="str">
        <f>IF(F375="Payment / Credit","Payment",IF(E375&lt;0,"Income","Spend"))</f>
        <v>Spend</v>
      </c>
    </row>
    <row r="376" spans="1:7" ht="15" hidden="1" customHeight="1" x14ac:dyDescent="0.3">
      <c r="A376" s="2" t="s">
        <v>7</v>
      </c>
      <c r="B376" s="3">
        <v>44411</v>
      </c>
      <c r="C376" s="4">
        <v>2021</v>
      </c>
      <c r="D376" s="2" t="s">
        <v>61</v>
      </c>
      <c r="E376" s="5">
        <v>6.57</v>
      </c>
      <c r="F376" s="2" t="s">
        <v>17</v>
      </c>
      <c r="G376" s="4" t="str">
        <f>IF(F376="Payment / Credit","Payment",IF(E376&lt;0,"Income","Spend"))</f>
        <v>Spend</v>
      </c>
    </row>
    <row r="377" spans="1:7" ht="15" customHeight="1" x14ac:dyDescent="0.3">
      <c r="A377" s="2" t="s">
        <v>7</v>
      </c>
      <c r="B377" s="3">
        <v>44412</v>
      </c>
      <c r="C377" s="4">
        <v>2021</v>
      </c>
      <c r="D377" s="2" t="s">
        <v>150</v>
      </c>
      <c r="E377" s="5">
        <v>80</v>
      </c>
      <c r="F377" s="2" t="s">
        <v>41</v>
      </c>
      <c r="G377" s="4" t="str">
        <f>IF(F377="Payment / Credit","Payment",IF(E377&lt;0,"Income","Spend"))</f>
        <v>Spend</v>
      </c>
    </row>
    <row r="378" spans="1:7" ht="15" hidden="1" customHeight="1" x14ac:dyDescent="0.3">
      <c r="A378" s="2" t="s">
        <v>7</v>
      </c>
      <c r="B378" s="3">
        <v>44413</v>
      </c>
      <c r="C378" s="4">
        <v>2021</v>
      </c>
      <c r="D378" s="2" t="s">
        <v>61</v>
      </c>
      <c r="E378" s="5">
        <v>6.57</v>
      </c>
      <c r="F378" s="2" t="s">
        <v>17</v>
      </c>
      <c r="G378" s="4" t="str">
        <f>IF(F378="Payment / Credit","Payment",IF(E378&lt;0,"Income","Spend"))</f>
        <v>Spend</v>
      </c>
    </row>
    <row r="379" spans="1:7" ht="15" hidden="1" customHeight="1" x14ac:dyDescent="0.3">
      <c r="A379" s="2" t="s">
        <v>7</v>
      </c>
      <c r="B379" s="3">
        <v>44413</v>
      </c>
      <c r="C379" s="4">
        <v>2021</v>
      </c>
      <c r="D379" s="2" t="s">
        <v>151</v>
      </c>
      <c r="E379" s="5">
        <v>9.32</v>
      </c>
      <c r="F379" s="2" t="s">
        <v>17</v>
      </c>
      <c r="G379" s="4" t="str">
        <f>IF(F379="Payment / Credit","Payment",IF(E379&lt;0,"Income","Spend"))</f>
        <v>Spend</v>
      </c>
    </row>
    <row r="380" spans="1:7" ht="15" hidden="1" customHeight="1" x14ac:dyDescent="0.3">
      <c r="A380" s="2" t="s">
        <v>7</v>
      </c>
      <c r="B380" s="3">
        <v>44413</v>
      </c>
      <c r="C380" s="4">
        <v>2021</v>
      </c>
      <c r="D380" s="2" t="s">
        <v>69</v>
      </c>
      <c r="E380" s="5">
        <v>8.89</v>
      </c>
      <c r="F380" s="2" t="s">
        <v>9</v>
      </c>
      <c r="G380" s="4" t="str">
        <f>IF(F380="Payment / Credit","Payment",IF(E380&lt;0,"Income","Spend"))</f>
        <v>Spend</v>
      </c>
    </row>
    <row r="381" spans="1:7" ht="15" hidden="1" customHeight="1" x14ac:dyDescent="0.3">
      <c r="A381" s="2" t="s">
        <v>7</v>
      </c>
      <c r="B381" s="3">
        <v>44414</v>
      </c>
      <c r="C381" s="4">
        <v>2021</v>
      </c>
      <c r="D381" s="2" t="s">
        <v>152</v>
      </c>
      <c r="E381" s="5">
        <v>28.8</v>
      </c>
      <c r="F381" s="2" t="s">
        <v>17</v>
      </c>
      <c r="G381" s="4" t="str">
        <f>IF(F381="Payment / Credit","Payment",IF(E381&lt;0,"Income","Spend"))</f>
        <v>Spend</v>
      </c>
    </row>
    <row r="382" spans="1:7" ht="15" hidden="1" customHeight="1" x14ac:dyDescent="0.3">
      <c r="A382" s="2" t="s">
        <v>7</v>
      </c>
      <c r="B382" s="3">
        <v>44414</v>
      </c>
      <c r="C382" s="4">
        <v>2021</v>
      </c>
      <c r="D382" s="2" t="s">
        <v>10</v>
      </c>
      <c r="E382" s="5">
        <v>3.04</v>
      </c>
      <c r="F382" s="2" t="s">
        <v>11</v>
      </c>
      <c r="G382" s="4" t="str">
        <f>IF(F382="Payment / Credit","Payment",IF(E382&lt;0,"Income","Spend"))</f>
        <v>Spend</v>
      </c>
    </row>
    <row r="383" spans="1:7" ht="15" hidden="1" customHeight="1" x14ac:dyDescent="0.3">
      <c r="A383" s="2" t="s">
        <v>7</v>
      </c>
      <c r="B383" s="3">
        <v>44415</v>
      </c>
      <c r="C383" s="4">
        <v>2021</v>
      </c>
      <c r="D383" s="2" t="s">
        <v>35</v>
      </c>
      <c r="E383" s="5">
        <v>4.47</v>
      </c>
      <c r="F383" s="2" t="s">
        <v>9</v>
      </c>
      <c r="G383" s="4" t="str">
        <f>IF(F383="Payment / Credit","Payment",IF(E383&lt;0,"Income","Spend"))</f>
        <v>Spend</v>
      </c>
    </row>
    <row r="384" spans="1:7" ht="15" hidden="1" customHeight="1" x14ac:dyDescent="0.3">
      <c r="A384" s="2" t="s">
        <v>7</v>
      </c>
      <c r="B384" s="3">
        <v>44415</v>
      </c>
      <c r="C384" s="4">
        <v>2021</v>
      </c>
      <c r="D384" s="2" t="s">
        <v>10</v>
      </c>
      <c r="E384" s="5">
        <v>1.41</v>
      </c>
      <c r="F384" s="2" t="s">
        <v>11</v>
      </c>
      <c r="G384" s="4" t="str">
        <f>IF(F384="Payment / Credit","Payment",IF(E384&lt;0,"Income","Spend"))</f>
        <v>Spend</v>
      </c>
    </row>
    <row r="385" spans="1:7" ht="15" hidden="1" customHeight="1" x14ac:dyDescent="0.3">
      <c r="A385" s="2" t="s">
        <v>7</v>
      </c>
      <c r="B385" s="3">
        <v>44416</v>
      </c>
      <c r="C385" s="4">
        <v>2021</v>
      </c>
      <c r="D385" s="2" t="s">
        <v>153</v>
      </c>
      <c r="E385" s="5">
        <v>58.9</v>
      </c>
      <c r="F385" s="2" t="s">
        <v>9</v>
      </c>
      <c r="G385" s="4" t="str">
        <f>IF(F385="Payment / Credit","Payment",IF(E385&lt;0,"Income","Spend"))</f>
        <v>Spend</v>
      </c>
    </row>
    <row r="386" spans="1:7" ht="15" hidden="1" customHeight="1" x14ac:dyDescent="0.3">
      <c r="A386" s="2" t="s">
        <v>7</v>
      </c>
      <c r="B386" s="3">
        <v>44420</v>
      </c>
      <c r="C386" s="4">
        <v>2021</v>
      </c>
      <c r="D386" s="2" t="s">
        <v>46</v>
      </c>
      <c r="E386" s="5">
        <v>-570.38</v>
      </c>
      <c r="F386" s="2" t="s">
        <v>47</v>
      </c>
      <c r="G386" s="4" t="str">
        <f>IF(F386="Payment / Credit","Payment",IF(E386&lt;0,"Income","Spend"))</f>
        <v>Payment</v>
      </c>
    </row>
    <row r="387" spans="1:7" ht="15" hidden="1" customHeight="1" x14ac:dyDescent="0.3">
      <c r="A387" s="2" t="s">
        <v>7</v>
      </c>
      <c r="B387" s="3">
        <v>44420</v>
      </c>
      <c r="C387" s="4">
        <v>2021</v>
      </c>
      <c r="D387" s="2" t="s">
        <v>52</v>
      </c>
      <c r="E387" s="5">
        <v>12.74</v>
      </c>
      <c r="F387" s="2" t="s">
        <v>9</v>
      </c>
      <c r="G387" s="4" t="str">
        <f>IF(F387="Payment / Credit","Payment",IF(E387&lt;0,"Income","Spend"))</f>
        <v>Spend</v>
      </c>
    </row>
    <row r="388" spans="1:7" ht="15" hidden="1" customHeight="1" x14ac:dyDescent="0.3">
      <c r="A388" s="2" t="s">
        <v>7</v>
      </c>
      <c r="B388" s="3">
        <v>44420</v>
      </c>
      <c r="C388" s="4">
        <v>2021</v>
      </c>
      <c r="D388" s="2" t="s">
        <v>69</v>
      </c>
      <c r="E388" s="5">
        <v>10.31</v>
      </c>
      <c r="F388" s="2" t="s">
        <v>9</v>
      </c>
      <c r="G388" s="4" t="str">
        <f>IF(F388="Payment / Credit","Payment",IF(E388&lt;0,"Income","Spend"))</f>
        <v>Spend</v>
      </c>
    </row>
    <row r="389" spans="1:7" ht="15" hidden="1" customHeight="1" x14ac:dyDescent="0.3">
      <c r="A389" s="2" t="s">
        <v>7</v>
      </c>
      <c r="B389" s="3">
        <v>44421</v>
      </c>
      <c r="C389" s="4">
        <v>2021</v>
      </c>
      <c r="D389" s="2" t="s">
        <v>60</v>
      </c>
      <c r="E389" s="5">
        <v>19.190000000000001</v>
      </c>
      <c r="F389" s="2" t="s">
        <v>13</v>
      </c>
      <c r="G389" s="4" t="str">
        <f>IF(F389="Payment / Credit","Payment",IF(E389&lt;0,"Income","Spend"))</f>
        <v>Spend</v>
      </c>
    </row>
    <row r="390" spans="1:7" ht="15" hidden="1" customHeight="1" x14ac:dyDescent="0.3">
      <c r="A390" s="2" t="s">
        <v>7</v>
      </c>
      <c r="B390" s="3">
        <v>44421</v>
      </c>
      <c r="C390" s="4">
        <v>2021</v>
      </c>
      <c r="D390" s="2" t="s">
        <v>154</v>
      </c>
      <c r="E390" s="5">
        <v>3.72</v>
      </c>
      <c r="F390" s="2" t="s">
        <v>9</v>
      </c>
      <c r="G390" s="4" t="str">
        <f>IF(F390="Payment / Credit","Payment",IF(E390&lt;0,"Income","Spend"))</f>
        <v>Spend</v>
      </c>
    </row>
    <row r="391" spans="1:7" ht="15" hidden="1" customHeight="1" x14ac:dyDescent="0.3">
      <c r="A391" s="2" t="s">
        <v>7</v>
      </c>
      <c r="B391" s="3">
        <v>44423</v>
      </c>
      <c r="C391" s="4">
        <v>2021</v>
      </c>
      <c r="D391" s="2" t="s">
        <v>153</v>
      </c>
      <c r="E391" s="5">
        <v>42.33</v>
      </c>
      <c r="F391" s="2" t="s">
        <v>9</v>
      </c>
      <c r="G391" s="4" t="str">
        <f>IF(F391="Payment / Credit","Payment",IF(E391&lt;0,"Income","Spend"))</f>
        <v>Spend</v>
      </c>
    </row>
    <row r="392" spans="1:7" ht="15" hidden="1" customHeight="1" x14ac:dyDescent="0.3">
      <c r="A392" s="2" t="s">
        <v>7</v>
      </c>
      <c r="B392" s="3">
        <v>44423</v>
      </c>
      <c r="C392" s="4">
        <v>2021</v>
      </c>
      <c r="D392" s="2" t="s">
        <v>155</v>
      </c>
      <c r="E392" s="5">
        <v>3.11</v>
      </c>
      <c r="F392" s="2" t="s">
        <v>17</v>
      </c>
      <c r="G392" s="4" t="str">
        <f>IF(F392="Payment / Credit","Payment",IF(E392&lt;0,"Income","Spend"))</f>
        <v>Spend</v>
      </c>
    </row>
    <row r="393" spans="1:7" ht="15" hidden="1" customHeight="1" x14ac:dyDescent="0.3">
      <c r="A393" s="2" t="s">
        <v>7</v>
      </c>
      <c r="B393" s="3">
        <v>44423</v>
      </c>
      <c r="C393" s="4">
        <v>2021</v>
      </c>
      <c r="D393" s="2" t="s">
        <v>156</v>
      </c>
      <c r="E393" s="5">
        <v>10.08</v>
      </c>
      <c r="F393" s="2" t="s">
        <v>17</v>
      </c>
      <c r="G393" s="4" t="str">
        <f>IF(F393="Payment / Credit","Payment",IF(E393&lt;0,"Income","Spend"))</f>
        <v>Spend</v>
      </c>
    </row>
    <row r="394" spans="1:7" ht="15" hidden="1" customHeight="1" x14ac:dyDescent="0.3">
      <c r="A394" s="2" t="s">
        <v>7</v>
      </c>
      <c r="B394" s="3">
        <v>44424</v>
      </c>
      <c r="C394" s="4">
        <v>2021</v>
      </c>
      <c r="D394" s="2" t="s">
        <v>157</v>
      </c>
      <c r="E394" s="5">
        <v>15.38</v>
      </c>
      <c r="F394" s="2" t="s">
        <v>13</v>
      </c>
      <c r="G394" s="4" t="str">
        <f>IF(F394="Payment / Credit","Payment",IF(E394&lt;0,"Income","Spend"))</f>
        <v>Spend</v>
      </c>
    </row>
    <row r="395" spans="1:7" ht="15" hidden="1" customHeight="1" x14ac:dyDescent="0.3">
      <c r="A395" s="2" t="s">
        <v>7</v>
      </c>
      <c r="B395" s="3">
        <v>44426</v>
      </c>
      <c r="C395" s="4">
        <v>2021</v>
      </c>
      <c r="D395" s="2" t="s">
        <v>10</v>
      </c>
      <c r="E395" s="5">
        <v>6.19</v>
      </c>
      <c r="F395" s="2" t="s">
        <v>11</v>
      </c>
      <c r="G395" s="4" t="str">
        <f>IF(F395="Payment / Credit","Payment",IF(E395&lt;0,"Income","Spend"))</f>
        <v>Spend</v>
      </c>
    </row>
    <row r="396" spans="1:7" ht="15" customHeight="1" x14ac:dyDescent="0.3">
      <c r="A396" s="2" t="s">
        <v>7</v>
      </c>
      <c r="B396" s="3">
        <v>44427</v>
      </c>
      <c r="C396" s="4">
        <v>2021</v>
      </c>
      <c r="D396" s="2" t="s">
        <v>83</v>
      </c>
      <c r="E396" s="5">
        <v>193.02</v>
      </c>
      <c r="F396" s="2" t="s">
        <v>210</v>
      </c>
      <c r="G396" s="4" t="str">
        <f>IF(F396="Payment / Credit","Payment",IF(E396&lt;0,"Income","Spend"))</f>
        <v>Spend</v>
      </c>
    </row>
    <row r="397" spans="1:7" ht="15" hidden="1" customHeight="1" x14ac:dyDescent="0.3">
      <c r="A397" s="2" t="s">
        <v>7</v>
      </c>
      <c r="B397" s="3">
        <v>44429</v>
      </c>
      <c r="C397" s="4">
        <v>2021</v>
      </c>
      <c r="D397" s="2" t="s">
        <v>44</v>
      </c>
      <c r="E397" s="5">
        <v>8.9</v>
      </c>
      <c r="F397" s="2" t="s">
        <v>17</v>
      </c>
      <c r="G397" s="4" t="str">
        <f>IF(F397="Payment / Credit","Payment",IF(E397&lt;0,"Income","Spend"))</f>
        <v>Spend</v>
      </c>
    </row>
    <row r="398" spans="1:7" ht="15" hidden="1" customHeight="1" x14ac:dyDescent="0.3">
      <c r="A398" s="2" t="s">
        <v>7</v>
      </c>
      <c r="B398" s="3">
        <v>44429</v>
      </c>
      <c r="C398" s="4">
        <v>2021</v>
      </c>
      <c r="D398" s="2" t="s">
        <v>153</v>
      </c>
      <c r="E398" s="5">
        <v>5.61</v>
      </c>
      <c r="F398" s="2" t="s">
        <v>9</v>
      </c>
      <c r="G398" s="4" t="str">
        <f>IF(F398="Payment / Credit","Payment",IF(E398&lt;0,"Income","Spend"))</f>
        <v>Spend</v>
      </c>
    </row>
    <row r="399" spans="1:7" ht="15" hidden="1" customHeight="1" x14ac:dyDescent="0.3">
      <c r="A399" s="2" t="s">
        <v>7</v>
      </c>
      <c r="B399" s="3">
        <v>44430</v>
      </c>
      <c r="C399" s="4">
        <v>2021</v>
      </c>
      <c r="D399" s="2" t="s">
        <v>153</v>
      </c>
      <c r="E399" s="5">
        <v>26.57</v>
      </c>
      <c r="F399" s="2" t="s">
        <v>9</v>
      </c>
      <c r="G399" s="4" t="str">
        <f>IF(F399="Payment / Credit","Payment",IF(E399&lt;0,"Income","Spend"))</f>
        <v>Spend</v>
      </c>
    </row>
    <row r="400" spans="1:7" ht="15" hidden="1" customHeight="1" x14ac:dyDescent="0.3">
      <c r="A400" s="2" t="s">
        <v>7</v>
      </c>
      <c r="B400" s="3">
        <v>44435</v>
      </c>
      <c r="C400" s="4">
        <v>2021</v>
      </c>
      <c r="D400" s="2" t="s">
        <v>61</v>
      </c>
      <c r="E400" s="5">
        <v>6.57</v>
      </c>
      <c r="F400" s="2" t="s">
        <v>17</v>
      </c>
      <c r="G400" s="4" t="str">
        <f>IF(F400="Payment / Credit","Payment",IF(E400&lt;0,"Income","Spend"))</f>
        <v>Spend</v>
      </c>
    </row>
    <row r="401" spans="1:7" ht="15" hidden="1" customHeight="1" x14ac:dyDescent="0.3">
      <c r="A401" s="2" t="s">
        <v>7</v>
      </c>
      <c r="B401" s="3">
        <v>44435</v>
      </c>
      <c r="C401" s="4">
        <v>2021</v>
      </c>
      <c r="D401" s="2" t="s">
        <v>81</v>
      </c>
      <c r="E401" s="5">
        <v>8.51</v>
      </c>
      <c r="F401" s="2" t="s">
        <v>17</v>
      </c>
      <c r="G401" s="4" t="str">
        <f>IF(F401="Payment / Credit","Payment",IF(E401&lt;0,"Income","Spend"))</f>
        <v>Spend</v>
      </c>
    </row>
    <row r="402" spans="1:7" ht="15" hidden="1" customHeight="1" x14ac:dyDescent="0.3">
      <c r="A402" s="2" t="s">
        <v>7</v>
      </c>
      <c r="B402" s="3">
        <v>44436</v>
      </c>
      <c r="C402" s="4">
        <v>2021</v>
      </c>
      <c r="D402" s="2" t="s">
        <v>158</v>
      </c>
      <c r="E402" s="5">
        <v>2.74</v>
      </c>
      <c r="F402" s="2" t="s">
        <v>17</v>
      </c>
      <c r="G402" s="4" t="str">
        <f>IF(F402="Payment / Credit","Payment",IF(E402&lt;0,"Income","Spend"))</f>
        <v>Spend</v>
      </c>
    </row>
    <row r="403" spans="1:7" ht="15" hidden="1" customHeight="1" x14ac:dyDescent="0.3">
      <c r="A403" s="2" t="s">
        <v>7</v>
      </c>
      <c r="B403" s="3">
        <v>44436</v>
      </c>
      <c r="C403" s="4">
        <v>2021</v>
      </c>
      <c r="D403" s="2" t="s">
        <v>10</v>
      </c>
      <c r="E403" s="5">
        <v>1.41</v>
      </c>
      <c r="F403" s="2" t="s">
        <v>11</v>
      </c>
      <c r="G403" s="4" t="str">
        <f>IF(F403="Payment / Credit","Payment",IF(E403&lt;0,"Income","Spend"))</f>
        <v>Spend</v>
      </c>
    </row>
    <row r="404" spans="1:7" ht="15" hidden="1" customHeight="1" x14ac:dyDescent="0.3">
      <c r="A404" s="2" t="s">
        <v>7</v>
      </c>
      <c r="B404" s="3">
        <v>44437</v>
      </c>
      <c r="C404" s="4">
        <v>2021</v>
      </c>
      <c r="D404" s="2" t="s">
        <v>63</v>
      </c>
      <c r="E404" s="5">
        <v>82.44</v>
      </c>
      <c r="F404" s="2" t="s">
        <v>9</v>
      </c>
      <c r="G404" s="4" t="str">
        <f>IF(F404="Payment / Credit","Payment",IF(E404&lt;0,"Income","Spend"))</f>
        <v>Spend</v>
      </c>
    </row>
    <row r="405" spans="1:7" ht="15" hidden="1" customHeight="1" x14ac:dyDescent="0.3">
      <c r="A405" s="2" t="s">
        <v>7</v>
      </c>
      <c r="B405" s="3">
        <v>44437</v>
      </c>
      <c r="C405" s="4">
        <v>2021</v>
      </c>
      <c r="D405" s="2" t="s">
        <v>125</v>
      </c>
      <c r="E405" s="5">
        <v>51.65</v>
      </c>
      <c r="F405" s="2" t="s">
        <v>11</v>
      </c>
      <c r="G405" s="4" t="str">
        <f>IF(F405="Payment / Credit","Payment",IF(E405&lt;0,"Income","Spend"))</f>
        <v>Spend</v>
      </c>
    </row>
    <row r="406" spans="1:7" ht="15" hidden="1" customHeight="1" x14ac:dyDescent="0.3">
      <c r="A406" s="2" t="s">
        <v>7</v>
      </c>
      <c r="B406" s="3">
        <v>44440</v>
      </c>
      <c r="C406" s="4">
        <v>2021</v>
      </c>
      <c r="D406" s="2" t="s">
        <v>159</v>
      </c>
      <c r="E406" s="5">
        <v>1.36</v>
      </c>
      <c r="F406" s="2" t="s">
        <v>17</v>
      </c>
      <c r="G406" s="4" t="str">
        <f>IF(F406="Payment / Credit","Payment",IF(E406&lt;0,"Income","Spend"))</f>
        <v>Spend</v>
      </c>
    </row>
    <row r="407" spans="1:7" ht="15" hidden="1" customHeight="1" x14ac:dyDescent="0.3">
      <c r="A407" s="2" t="s">
        <v>7</v>
      </c>
      <c r="B407" s="3">
        <v>44441</v>
      </c>
      <c r="C407" s="4">
        <v>2021</v>
      </c>
      <c r="D407" s="2" t="s">
        <v>44</v>
      </c>
      <c r="E407" s="5">
        <v>8.9</v>
      </c>
      <c r="F407" s="2" t="s">
        <v>17</v>
      </c>
      <c r="G407" s="4" t="str">
        <f>IF(F407="Payment / Credit","Payment",IF(E407&lt;0,"Income","Spend"))</f>
        <v>Spend</v>
      </c>
    </row>
    <row r="408" spans="1:7" ht="15" hidden="1" customHeight="1" x14ac:dyDescent="0.3">
      <c r="A408" s="2" t="s">
        <v>7</v>
      </c>
      <c r="B408" s="3">
        <v>44441</v>
      </c>
      <c r="C408" s="4">
        <v>2021</v>
      </c>
      <c r="D408" s="2" t="s">
        <v>136</v>
      </c>
      <c r="E408" s="5">
        <v>2.16</v>
      </c>
      <c r="F408" s="2" t="s">
        <v>123</v>
      </c>
      <c r="G408" s="4" t="str">
        <f>IF(F408="Payment / Credit","Payment",IF(E408&lt;0,"Income","Spend"))</f>
        <v>Spend</v>
      </c>
    </row>
    <row r="409" spans="1:7" ht="15" hidden="1" customHeight="1" x14ac:dyDescent="0.3">
      <c r="A409" s="2" t="s">
        <v>7</v>
      </c>
      <c r="B409" s="3">
        <v>44441</v>
      </c>
      <c r="C409" s="4">
        <v>2021</v>
      </c>
      <c r="D409" s="2" t="s">
        <v>136</v>
      </c>
      <c r="E409" s="5">
        <v>3.22</v>
      </c>
      <c r="F409" s="2" t="s">
        <v>123</v>
      </c>
      <c r="G409" s="4" t="str">
        <f>IF(F409="Payment / Credit","Payment",IF(E409&lt;0,"Income","Spend"))</f>
        <v>Spend</v>
      </c>
    </row>
    <row r="410" spans="1:7" ht="15" hidden="1" customHeight="1" x14ac:dyDescent="0.3">
      <c r="A410" s="2" t="s">
        <v>7</v>
      </c>
      <c r="B410" s="3">
        <v>44443</v>
      </c>
      <c r="C410" s="4">
        <v>2021</v>
      </c>
      <c r="D410" s="2" t="s">
        <v>10</v>
      </c>
      <c r="E410" s="5">
        <v>1.41</v>
      </c>
      <c r="F410" s="2" t="s">
        <v>11</v>
      </c>
      <c r="G410" s="4" t="str">
        <f>IF(F410="Payment / Credit","Payment",IF(E410&lt;0,"Income","Spend"))</f>
        <v>Spend</v>
      </c>
    </row>
    <row r="411" spans="1:7" ht="15" hidden="1" customHeight="1" x14ac:dyDescent="0.3">
      <c r="A411" s="2" t="s">
        <v>7</v>
      </c>
      <c r="B411" s="3">
        <v>44449</v>
      </c>
      <c r="C411" s="4">
        <v>2021</v>
      </c>
      <c r="D411" s="2" t="s">
        <v>152</v>
      </c>
      <c r="E411" s="5">
        <v>32.08</v>
      </c>
      <c r="F411" s="2" t="s">
        <v>17</v>
      </c>
      <c r="G411" s="4" t="str">
        <f>IF(F411="Payment / Credit","Payment",IF(E411&lt;0,"Income","Spend"))</f>
        <v>Spend</v>
      </c>
    </row>
    <row r="412" spans="1:7" ht="15" hidden="1" customHeight="1" x14ac:dyDescent="0.3">
      <c r="A412" s="2" t="s">
        <v>7</v>
      </c>
      <c r="B412" s="3">
        <v>44449</v>
      </c>
      <c r="C412" s="4">
        <v>2021</v>
      </c>
      <c r="D412" s="2" t="s">
        <v>10</v>
      </c>
      <c r="E412" s="5">
        <v>1.64</v>
      </c>
      <c r="F412" s="2" t="s">
        <v>11</v>
      </c>
      <c r="G412" s="4" t="str">
        <f>IF(F412="Payment / Credit","Payment",IF(E412&lt;0,"Income","Spend"))</f>
        <v>Spend</v>
      </c>
    </row>
    <row r="413" spans="1:7" ht="15" hidden="1" customHeight="1" x14ac:dyDescent="0.3">
      <c r="A413" s="2" t="s">
        <v>7</v>
      </c>
      <c r="B413" s="3">
        <v>44449</v>
      </c>
      <c r="C413" s="4">
        <v>2021</v>
      </c>
      <c r="D413" s="2" t="s">
        <v>69</v>
      </c>
      <c r="E413" s="5">
        <v>10</v>
      </c>
      <c r="F413" s="2" t="s">
        <v>9</v>
      </c>
      <c r="G413" s="4" t="str">
        <f>IF(F413="Payment / Credit","Payment",IF(E413&lt;0,"Income","Spend"))</f>
        <v>Spend</v>
      </c>
    </row>
    <row r="414" spans="1:7" ht="15" hidden="1" customHeight="1" x14ac:dyDescent="0.3">
      <c r="A414" s="2" t="s">
        <v>7</v>
      </c>
      <c r="B414" s="3">
        <v>44450</v>
      </c>
      <c r="C414" s="4">
        <v>2021</v>
      </c>
      <c r="D414" s="2" t="s">
        <v>35</v>
      </c>
      <c r="E414" s="5">
        <v>8.43</v>
      </c>
      <c r="F414" s="2" t="s">
        <v>9</v>
      </c>
      <c r="G414" s="4" t="str">
        <f>IF(F414="Payment / Credit","Payment",IF(E414&lt;0,"Income","Spend"))</f>
        <v>Spend</v>
      </c>
    </row>
    <row r="415" spans="1:7" ht="15" hidden="1" customHeight="1" x14ac:dyDescent="0.3">
      <c r="A415" s="2" t="s">
        <v>7</v>
      </c>
      <c r="B415" s="3">
        <v>44451</v>
      </c>
      <c r="C415" s="4">
        <v>2021</v>
      </c>
      <c r="D415" s="2" t="s">
        <v>46</v>
      </c>
      <c r="E415" s="5">
        <v>-648.03</v>
      </c>
      <c r="F415" s="2" t="s">
        <v>47</v>
      </c>
      <c r="G415" s="4" t="str">
        <f>IF(F415="Payment / Credit","Payment",IF(E415&lt;0,"Income","Spend"))</f>
        <v>Payment</v>
      </c>
    </row>
    <row r="416" spans="1:7" ht="15" hidden="1" customHeight="1" x14ac:dyDescent="0.3">
      <c r="A416" s="2" t="s">
        <v>7</v>
      </c>
      <c r="B416" s="3">
        <v>44451</v>
      </c>
      <c r="C416" s="4">
        <v>2021</v>
      </c>
      <c r="D416" s="2" t="s">
        <v>61</v>
      </c>
      <c r="E416" s="5">
        <v>14.79</v>
      </c>
      <c r="F416" s="2" t="s">
        <v>17</v>
      </c>
      <c r="G416" s="4" t="str">
        <f>IF(F416="Payment / Credit","Payment",IF(E416&lt;0,"Income","Spend"))</f>
        <v>Spend</v>
      </c>
    </row>
    <row r="417" spans="1:7" ht="15" hidden="1" customHeight="1" x14ac:dyDescent="0.3">
      <c r="A417" s="2" t="s">
        <v>7</v>
      </c>
      <c r="B417" s="3">
        <v>44451</v>
      </c>
      <c r="C417" s="4">
        <v>2021</v>
      </c>
      <c r="D417" s="2" t="s">
        <v>136</v>
      </c>
      <c r="E417" s="5">
        <v>5.42</v>
      </c>
      <c r="F417" s="2" t="s">
        <v>123</v>
      </c>
      <c r="G417" s="4" t="str">
        <f>IF(F417="Payment / Credit","Payment",IF(E417&lt;0,"Income","Spend"))</f>
        <v>Spend</v>
      </c>
    </row>
    <row r="418" spans="1:7" ht="15" hidden="1" customHeight="1" x14ac:dyDescent="0.3">
      <c r="A418" s="2" t="s">
        <v>7</v>
      </c>
      <c r="B418" s="3">
        <v>44452</v>
      </c>
      <c r="C418" s="4">
        <v>2021</v>
      </c>
      <c r="D418" s="2" t="s">
        <v>8</v>
      </c>
      <c r="E418" s="5">
        <v>11.23</v>
      </c>
      <c r="F418" s="2" t="s">
        <v>9</v>
      </c>
      <c r="G418" s="4" t="str">
        <f>IF(F418="Payment / Credit","Payment",IF(E418&lt;0,"Income","Spend"))</f>
        <v>Spend</v>
      </c>
    </row>
    <row r="419" spans="1:7" ht="15" hidden="1" customHeight="1" x14ac:dyDescent="0.3">
      <c r="A419" s="2" t="s">
        <v>7</v>
      </c>
      <c r="B419" s="3">
        <v>44454</v>
      </c>
      <c r="C419" s="4">
        <v>2021</v>
      </c>
      <c r="D419" s="2" t="s">
        <v>63</v>
      </c>
      <c r="E419" s="5">
        <v>40.1</v>
      </c>
      <c r="F419" s="2" t="s">
        <v>9</v>
      </c>
      <c r="G419" s="4" t="str">
        <f>IF(F419="Payment / Credit","Payment",IF(E419&lt;0,"Income","Spend"))</f>
        <v>Spend</v>
      </c>
    </row>
    <row r="420" spans="1:7" ht="15" hidden="1" customHeight="1" x14ac:dyDescent="0.3">
      <c r="A420" s="2" t="s">
        <v>7</v>
      </c>
      <c r="B420" s="3">
        <v>44456</v>
      </c>
      <c r="C420" s="4">
        <v>2021</v>
      </c>
      <c r="D420" s="2" t="s">
        <v>52</v>
      </c>
      <c r="E420" s="5">
        <v>24.88</v>
      </c>
      <c r="F420" s="2" t="s">
        <v>9</v>
      </c>
      <c r="G420" s="4" t="str">
        <f>IF(F420="Payment / Credit","Payment",IF(E420&lt;0,"Income","Spend"))</f>
        <v>Spend</v>
      </c>
    </row>
    <row r="421" spans="1:7" ht="15" hidden="1" customHeight="1" x14ac:dyDescent="0.3">
      <c r="A421" s="2" t="s">
        <v>7</v>
      </c>
      <c r="B421" s="3">
        <v>44456</v>
      </c>
      <c r="C421" s="4">
        <v>2021</v>
      </c>
      <c r="D421" s="2" t="s">
        <v>44</v>
      </c>
      <c r="E421" s="5">
        <v>17.8</v>
      </c>
      <c r="F421" s="2" t="s">
        <v>17</v>
      </c>
      <c r="G421" s="4" t="str">
        <f>IF(F421="Payment / Credit","Payment",IF(E421&lt;0,"Income","Spend"))</f>
        <v>Spend</v>
      </c>
    </row>
    <row r="422" spans="1:7" ht="15" hidden="1" customHeight="1" x14ac:dyDescent="0.3">
      <c r="A422" s="2" t="s">
        <v>7</v>
      </c>
      <c r="B422" s="3">
        <v>44456</v>
      </c>
      <c r="C422" s="4">
        <v>2021</v>
      </c>
      <c r="D422" s="2" t="s">
        <v>10</v>
      </c>
      <c r="E422" s="5">
        <v>1.62</v>
      </c>
      <c r="F422" s="2" t="s">
        <v>11</v>
      </c>
      <c r="G422" s="4" t="str">
        <f>IF(F422="Payment / Credit","Payment",IF(E422&lt;0,"Income","Spend"))</f>
        <v>Spend</v>
      </c>
    </row>
    <row r="423" spans="1:7" ht="15" hidden="1" customHeight="1" x14ac:dyDescent="0.3">
      <c r="A423" s="2" t="s">
        <v>7</v>
      </c>
      <c r="B423" s="3">
        <v>44456</v>
      </c>
      <c r="C423" s="4">
        <v>2021</v>
      </c>
      <c r="D423" s="2" t="s">
        <v>69</v>
      </c>
      <c r="E423" s="5">
        <v>26.67</v>
      </c>
      <c r="F423" s="2" t="s">
        <v>9</v>
      </c>
      <c r="G423" s="4" t="str">
        <f>IF(F423="Payment / Credit","Payment",IF(E423&lt;0,"Income","Spend"))</f>
        <v>Spend</v>
      </c>
    </row>
    <row r="424" spans="1:7" ht="15" hidden="1" customHeight="1" x14ac:dyDescent="0.3">
      <c r="A424" s="2" t="s">
        <v>7</v>
      </c>
      <c r="B424" s="3">
        <v>44457</v>
      </c>
      <c r="C424" s="4">
        <v>2021</v>
      </c>
      <c r="D424" s="2" t="s">
        <v>81</v>
      </c>
      <c r="E424" s="5">
        <v>8.51</v>
      </c>
      <c r="F424" s="2" t="s">
        <v>17</v>
      </c>
      <c r="G424" s="4" t="str">
        <f>IF(F424="Payment / Credit","Payment",IF(E424&lt;0,"Income","Spend"))</f>
        <v>Spend</v>
      </c>
    </row>
    <row r="425" spans="1:7" ht="15" hidden="1" customHeight="1" x14ac:dyDescent="0.3">
      <c r="A425" s="2" t="s">
        <v>7</v>
      </c>
      <c r="B425" s="3">
        <v>44457</v>
      </c>
      <c r="C425" s="4">
        <v>2021</v>
      </c>
      <c r="D425" s="2" t="s">
        <v>153</v>
      </c>
      <c r="E425" s="5">
        <v>75.7</v>
      </c>
      <c r="F425" s="2" t="s">
        <v>9</v>
      </c>
      <c r="G425" s="4" t="str">
        <f>IF(F425="Payment / Credit","Payment",IF(E425&lt;0,"Income","Spend"))</f>
        <v>Spend</v>
      </c>
    </row>
    <row r="426" spans="1:7" ht="15" hidden="1" customHeight="1" x14ac:dyDescent="0.3">
      <c r="A426" s="2" t="s">
        <v>7</v>
      </c>
      <c r="B426" s="3">
        <v>44457</v>
      </c>
      <c r="C426" s="4">
        <v>2021</v>
      </c>
      <c r="D426" s="2" t="s">
        <v>60</v>
      </c>
      <c r="E426" s="5">
        <v>9.7899999999999991</v>
      </c>
      <c r="F426" s="2" t="s">
        <v>13</v>
      </c>
      <c r="G426" s="4" t="str">
        <f>IF(F426="Payment / Credit","Payment",IF(E426&lt;0,"Income","Spend"))</f>
        <v>Spend</v>
      </c>
    </row>
    <row r="427" spans="1:7" ht="15" hidden="1" customHeight="1" x14ac:dyDescent="0.3">
      <c r="A427" s="2" t="s">
        <v>7</v>
      </c>
      <c r="B427" s="3">
        <v>44457</v>
      </c>
      <c r="C427" s="4">
        <v>2021</v>
      </c>
      <c r="D427" s="2" t="s">
        <v>8</v>
      </c>
      <c r="E427" s="5">
        <v>25.55</v>
      </c>
      <c r="F427" s="2" t="s">
        <v>9</v>
      </c>
      <c r="G427" s="4" t="str">
        <f>IF(F427="Payment / Credit","Payment",IF(E427&lt;0,"Income","Spend"))</f>
        <v>Spend</v>
      </c>
    </row>
    <row r="428" spans="1:7" ht="15" hidden="1" customHeight="1" x14ac:dyDescent="0.3">
      <c r="A428" s="2" t="s">
        <v>7</v>
      </c>
      <c r="B428" s="3">
        <v>44458</v>
      </c>
      <c r="C428" s="4">
        <v>2021</v>
      </c>
      <c r="D428" s="2" t="s">
        <v>52</v>
      </c>
      <c r="E428" s="5">
        <v>7.93</v>
      </c>
      <c r="F428" s="2" t="s">
        <v>9</v>
      </c>
      <c r="G428" s="4" t="str">
        <f>IF(F428="Payment / Credit","Payment",IF(E428&lt;0,"Income","Spend"))</f>
        <v>Spend</v>
      </c>
    </row>
    <row r="429" spans="1:7" ht="15" hidden="1" customHeight="1" x14ac:dyDescent="0.3">
      <c r="A429" s="2" t="s">
        <v>7</v>
      </c>
      <c r="B429" s="3">
        <v>44458</v>
      </c>
      <c r="C429" s="4">
        <v>2021</v>
      </c>
      <c r="D429" s="2" t="s">
        <v>160</v>
      </c>
      <c r="E429" s="5">
        <v>21.28</v>
      </c>
      <c r="F429" s="2" t="s">
        <v>17</v>
      </c>
      <c r="G429" s="4" t="str">
        <f>IF(F429="Payment / Credit","Payment",IF(E429&lt;0,"Income","Spend"))</f>
        <v>Spend</v>
      </c>
    </row>
    <row r="430" spans="1:7" ht="15" hidden="1" customHeight="1" x14ac:dyDescent="0.3">
      <c r="A430" s="2" t="s">
        <v>7</v>
      </c>
      <c r="B430" s="3">
        <v>44458</v>
      </c>
      <c r="C430" s="4">
        <v>2021</v>
      </c>
      <c r="D430" s="2" t="s">
        <v>8</v>
      </c>
      <c r="E430" s="5">
        <v>17.690000000000001</v>
      </c>
      <c r="F430" s="2" t="s">
        <v>9</v>
      </c>
      <c r="G430" s="4" t="str">
        <f>IF(F430="Payment / Credit","Payment",IF(E430&lt;0,"Income","Spend"))</f>
        <v>Spend</v>
      </c>
    </row>
    <row r="431" spans="1:7" ht="15" hidden="1" customHeight="1" x14ac:dyDescent="0.3">
      <c r="A431" s="2" t="s">
        <v>7</v>
      </c>
      <c r="B431" s="3">
        <v>44458</v>
      </c>
      <c r="C431" s="4">
        <v>2021</v>
      </c>
      <c r="D431" s="2" t="s">
        <v>161</v>
      </c>
      <c r="E431" s="5">
        <v>51.91</v>
      </c>
      <c r="F431" s="2" t="s">
        <v>123</v>
      </c>
      <c r="G431" s="4" t="str">
        <f>IF(F431="Payment / Credit","Payment",IF(E431&lt;0,"Income","Spend"))</f>
        <v>Spend</v>
      </c>
    </row>
    <row r="432" spans="1:7" ht="15" hidden="1" customHeight="1" x14ac:dyDescent="0.3">
      <c r="A432" s="2" t="s">
        <v>7</v>
      </c>
      <c r="B432" s="3">
        <v>44458</v>
      </c>
      <c r="C432" s="4">
        <v>2021</v>
      </c>
      <c r="D432" s="2" t="s">
        <v>162</v>
      </c>
      <c r="E432" s="5">
        <v>57.41</v>
      </c>
      <c r="F432" s="2" t="s">
        <v>13</v>
      </c>
      <c r="G432" s="4" t="str">
        <f>IF(F432="Payment / Credit","Payment",IF(E432&lt;0,"Income","Spend"))</f>
        <v>Spend</v>
      </c>
    </row>
    <row r="433" spans="1:7" ht="15" hidden="1" customHeight="1" x14ac:dyDescent="0.3">
      <c r="A433" s="2" t="s">
        <v>7</v>
      </c>
      <c r="B433" s="3">
        <v>44464</v>
      </c>
      <c r="C433" s="4">
        <v>2021</v>
      </c>
      <c r="D433" s="2" t="s">
        <v>63</v>
      </c>
      <c r="E433" s="5">
        <v>197.35</v>
      </c>
      <c r="F433" s="2" t="s">
        <v>9</v>
      </c>
      <c r="G433" s="4" t="str">
        <f>IF(F433="Payment / Credit","Payment",IF(E433&lt;0,"Income","Spend"))</f>
        <v>Spend</v>
      </c>
    </row>
    <row r="434" spans="1:7" ht="15" hidden="1" customHeight="1" x14ac:dyDescent="0.3">
      <c r="A434" s="2" t="s">
        <v>7</v>
      </c>
      <c r="B434" s="3">
        <v>44464</v>
      </c>
      <c r="C434" s="4">
        <v>2021</v>
      </c>
      <c r="D434" s="2" t="s">
        <v>125</v>
      </c>
      <c r="E434" s="5">
        <v>51.07</v>
      </c>
      <c r="F434" s="2" t="s">
        <v>11</v>
      </c>
      <c r="G434" s="4" t="str">
        <f>IF(F434="Payment / Credit","Payment",IF(E434&lt;0,"Income","Spend"))</f>
        <v>Spend</v>
      </c>
    </row>
    <row r="435" spans="1:7" ht="15" hidden="1" customHeight="1" x14ac:dyDescent="0.3">
      <c r="A435" s="2" t="s">
        <v>7</v>
      </c>
      <c r="B435" s="3">
        <v>44464</v>
      </c>
      <c r="C435" s="4">
        <v>2021</v>
      </c>
      <c r="D435" s="2" t="s">
        <v>60</v>
      </c>
      <c r="E435" s="5">
        <v>41.63</v>
      </c>
      <c r="F435" s="2" t="s">
        <v>13</v>
      </c>
      <c r="G435" s="4" t="str">
        <f>IF(F435="Payment / Credit","Payment",IF(E435&lt;0,"Income","Spend"))</f>
        <v>Spend</v>
      </c>
    </row>
    <row r="436" spans="1:7" ht="15" hidden="1" customHeight="1" x14ac:dyDescent="0.3">
      <c r="A436" s="2" t="s">
        <v>7</v>
      </c>
      <c r="B436" s="3">
        <v>44465</v>
      </c>
      <c r="C436" s="4">
        <v>2021</v>
      </c>
      <c r="D436" s="2" t="s">
        <v>163</v>
      </c>
      <c r="E436" s="5">
        <v>13.25</v>
      </c>
      <c r="F436" s="2" t="s">
        <v>13</v>
      </c>
      <c r="G436" s="4" t="str">
        <f>IF(F436="Payment / Credit","Payment",IF(E436&lt;0,"Income","Spend"))</f>
        <v>Spend</v>
      </c>
    </row>
    <row r="437" spans="1:7" ht="15" hidden="1" customHeight="1" x14ac:dyDescent="0.3">
      <c r="A437" s="2" t="s">
        <v>7</v>
      </c>
      <c r="B437" s="3">
        <v>44468</v>
      </c>
      <c r="C437" s="4">
        <v>2021</v>
      </c>
      <c r="D437" s="2" t="s">
        <v>8</v>
      </c>
      <c r="E437" s="5">
        <v>18.239999999999998</v>
      </c>
      <c r="F437" s="2" t="s">
        <v>9</v>
      </c>
      <c r="G437" s="4" t="str">
        <f>IF(F437="Payment / Credit","Payment",IF(E437&lt;0,"Income","Spend"))</f>
        <v>Spend</v>
      </c>
    </row>
    <row r="438" spans="1:7" ht="15" hidden="1" customHeight="1" x14ac:dyDescent="0.3">
      <c r="A438" s="2" t="s">
        <v>7</v>
      </c>
      <c r="B438" s="3">
        <v>44472</v>
      </c>
      <c r="C438" s="4">
        <v>2021</v>
      </c>
      <c r="D438" s="2" t="s">
        <v>63</v>
      </c>
      <c r="E438" s="5">
        <v>82.37</v>
      </c>
      <c r="F438" s="2" t="s">
        <v>9</v>
      </c>
      <c r="G438" s="4" t="str">
        <f>IF(F438="Payment / Credit","Payment",IF(E438&lt;0,"Income","Spend"))</f>
        <v>Spend</v>
      </c>
    </row>
    <row r="439" spans="1:7" ht="15" hidden="1" customHeight="1" x14ac:dyDescent="0.3">
      <c r="A439" s="2" t="s">
        <v>7</v>
      </c>
      <c r="B439" s="3">
        <v>44472</v>
      </c>
      <c r="C439" s="4">
        <v>2021</v>
      </c>
      <c r="D439" s="2" t="s">
        <v>164</v>
      </c>
      <c r="E439" s="5">
        <v>5.99</v>
      </c>
      <c r="F439" s="2" t="s">
        <v>17</v>
      </c>
      <c r="G439" s="4" t="str">
        <f>IF(F439="Payment / Credit","Payment",IF(E439&lt;0,"Income","Spend"))</f>
        <v>Spend</v>
      </c>
    </row>
    <row r="440" spans="1:7" ht="15" hidden="1" customHeight="1" x14ac:dyDescent="0.3">
      <c r="A440" s="2" t="s">
        <v>7</v>
      </c>
      <c r="B440" s="3">
        <v>44478</v>
      </c>
      <c r="C440" s="4">
        <v>2021</v>
      </c>
      <c r="D440" s="2" t="s">
        <v>52</v>
      </c>
      <c r="E440" s="5">
        <v>4.59</v>
      </c>
      <c r="F440" s="2" t="s">
        <v>9</v>
      </c>
      <c r="G440" s="4" t="str">
        <f>IF(F440="Payment / Credit","Payment",IF(E440&lt;0,"Income","Spend"))</f>
        <v>Spend</v>
      </c>
    </row>
    <row r="441" spans="1:7" ht="15" hidden="1" customHeight="1" x14ac:dyDescent="0.3">
      <c r="A441" s="2" t="s">
        <v>7</v>
      </c>
      <c r="B441" s="3">
        <v>44478</v>
      </c>
      <c r="C441" s="4">
        <v>2021</v>
      </c>
      <c r="D441" s="2" t="s">
        <v>165</v>
      </c>
      <c r="E441" s="5">
        <v>36.369999999999997</v>
      </c>
      <c r="F441" s="2" t="s">
        <v>13</v>
      </c>
      <c r="G441" s="4" t="str">
        <f>IF(F441="Payment / Credit","Payment",IF(E441&lt;0,"Income","Spend"))</f>
        <v>Spend</v>
      </c>
    </row>
    <row r="442" spans="1:7" ht="15" hidden="1" customHeight="1" x14ac:dyDescent="0.3">
      <c r="A442" s="2" t="s">
        <v>7</v>
      </c>
      <c r="B442" s="3">
        <v>44478</v>
      </c>
      <c r="C442" s="4">
        <v>2021</v>
      </c>
      <c r="D442" s="2" t="s">
        <v>60</v>
      </c>
      <c r="E442" s="5">
        <v>30.24</v>
      </c>
      <c r="F442" s="2" t="s">
        <v>13</v>
      </c>
      <c r="G442" s="4" t="str">
        <f>IF(F442="Payment / Credit","Payment",IF(E442&lt;0,"Income","Spend"))</f>
        <v>Spend</v>
      </c>
    </row>
    <row r="443" spans="1:7" ht="15" hidden="1" customHeight="1" x14ac:dyDescent="0.3">
      <c r="A443" s="2" t="s">
        <v>7</v>
      </c>
      <c r="B443" s="3">
        <v>44478</v>
      </c>
      <c r="C443" s="4">
        <v>2021</v>
      </c>
      <c r="D443" s="2" t="s">
        <v>61</v>
      </c>
      <c r="E443" s="5">
        <v>30.16</v>
      </c>
      <c r="F443" s="2" t="s">
        <v>17</v>
      </c>
      <c r="G443" s="4" t="str">
        <f>IF(F443="Payment / Credit","Payment",IF(E443&lt;0,"Income","Spend"))</f>
        <v>Spend</v>
      </c>
    </row>
    <row r="444" spans="1:7" ht="15" hidden="1" customHeight="1" x14ac:dyDescent="0.3">
      <c r="A444" s="2" t="s">
        <v>7</v>
      </c>
      <c r="B444" s="3">
        <v>44478</v>
      </c>
      <c r="C444" s="4">
        <v>2021</v>
      </c>
      <c r="D444" s="2" t="s">
        <v>52</v>
      </c>
      <c r="E444" s="5">
        <v>47.38</v>
      </c>
      <c r="F444" s="2" t="s">
        <v>9</v>
      </c>
      <c r="G444" s="4" t="str">
        <f>IF(F444="Payment / Credit","Payment",IF(E444&lt;0,"Income","Spend"))</f>
        <v>Spend</v>
      </c>
    </row>
    <row r="445" spans="1:7" ht="15" hidden="1" customHeight="1" x14ac:dyDescent="0.3">
      <c r="A445" s="2" t="s">
        <v>7</v>
      </c>
      <c r="B445" s="3">
        <v>44479</v>
      </c>
      <c r="C445" s="4">
        <v>2021</v>
      </c>
      <c r="D445" s="2" t="s">
        <v>35</v>
      </c>
      <c r="E445" s="5">
        <v>36.049999999999997</v>
      </c>
      <c r="F445" s="2" t="s">
        <v>9</v>
      </c>
      <c r="G445" s="4" t="str">
        <f>IF(F445="Payment / Credit","Payment",IF(E445&lt;0,"Income","Spend"))</f>
        <v>Spend</v>
      </c>
    </row>
    <row r="446" spans="1:7" ht="15" hidden="1" customHeight="1" x14ac:dyDescent="0.3">
      <c r="A446" s="2" t="s">
        <v>7</v>
      </c>
      <c r="B446" s="3">
        <v>44479</v>
      </c>
      <c r="C446" s="4">
        <v>2021</v>
      </c>
      <c r="D446" s="2" t="s">
        <v>85</v>
      </c>
      <c r="E446" s="5">
        <v>15.41</v>
      </c>
      <c r="F446" s="2" t="s">
        <v>13</v>
      </c>
      <c r="G446" s="4" t="str">
        <f>IF(F446="Payment / Credit","Payment",IF(E446&lt;0,"Income","Spend"))</f>
        <v>Spend</v>
      </c>
    </row>
    <row r="447" spans="1:7" ht="15" hidden="1" customHeight="1" x14ac:dyDescent="0.3">
      <c r="A447" s="2" t="s">
        <v>7</v>
      </c>
      <c r="B447" s="3">
        <v>44479</v>
      </c>
      <c r="C447" s="4">
        <v>2021</v>
      </c>
      <c r="D447" s="2" t="s">
        <v>166</v>
      </c>
      <c r="E447" s="5">
        <v>16.420000000000002</v>
      </c>
      <c r="F447" s="2" t="s">
        <v>9</v>
      </c>
      <c r="G447" s="4" t="str">
        <f>IF(F447="Payment / Credit","Payment",IF(E447&lt;0,"Income","Spend"))</f>
        <v>Spend</v>
      </c>
    </row>
    <row r="448" spans="1:7" ht="15" hidden="1" customHeight="1" x14ac:dyDescent="0.3">
      <c r="A448" s="2" t="s">
        <v>7</v>
      </c>
      <c r="B448" s="3">
        <v>44480</v>
      </c>
      <c r="C448" s="4">
        <v>2021</v>
      </c>
      <c r="D448" s="2" t="s">
        <v>60</v>
      </c>
      <c r="E448" s="5">
        <v>-2.86</v>
      </c>
      <c r="F448" s="2" t="s">
        <v>13</v>
      </c>
      <c r="G448" s="4" t="str">
        <f>IF(F448="Payment / Credit","Payment",IF(E448&lt;0,"Income","Spend"))</f>
        <v>Income</v>
      </c>
    </row>
    <row r="449" spans="1:7" ht="15" hidden="1" customHeight="1" x14ac:dyDescent="0.3">
      <c r="A449" s="2" t="s">
        <v>7</v>
      </c>
      <c r="B449" s="3">
        <v>44480</v>
      </c>
      <c r="C449" s="4">
        <v>2021</v>
      </c>
      <c r="D449" s="2" t="s">
        <v>60</v>
      </c>
      <c r="E449" s="5">
        <v>10.77</v>
      </c>
      <c r="F449" s="2" t="s">
        <v>13</v>
      </c>
      <c r="G449" s="4" t="str">
        <f>IF(F449="Payment / Credit","Payment",IF(E449&lt;0,"Income","Spend"))</f>
        <v>Spend</v>
      </c>
    </row>
    <row r="450" spans="1:7" ht="15" hidden="1" customHeight="1" x14ac:dyDescent="0.3">
      <c r="A450" s="2" t="s">
        <v>7</v>
      </c>
      <c r="B450" s="3">
        <v>44480</v>
      </c>
      <c r="C450" s="4">
        <v>2021</v>
      </c>
      <c r="D450" s="2" t="s">
        <v>60</v>
      </c>
      <c r="E450" s="5">
        <v>23.78</v>
      </c>
      <c r="F450" s="2" t="s">
        <v>13</v>
      </c>
      <c r="G450" s="4" t="str">
        <f>IF(F450="Payment / Credit","Payment",IF(E450&lt;0,"Income","Spend"))</f>
        <v>Spend</v>
      </c>
    </row>
    <row r="451" spans="1:7" ht="15" hidden="1" customHeight="1" x14ac:dyDescent="0.3">
      <c r="A451" s="2" t="s">
        <v>7</v>
      </c>
      <c r="B451" s="3">
        <v>44481</v>
      </c>
      <c r="C451" s="4">
        <v>2021</v>
      </c>
      <c r="D451" s="2" t="s">
        <v>46</v>
      </c>
      <c r="E451" s="5">
        <v>-562.29</v>
      </c>
      <c r="F451" s="2" t="s">
        <v>47</v>
      </c>
      <c r="G451" s="4" t="str">
        <f>IF(F451="Payment / Credit","Payment",IF(E451&lt;0,"Income","Spend"))</f>
        <v>Payment</v>
      </c>
    </row>
    <row r="452" spans="1:7" ht="15" customHeight="1" x14ac:dyDescent="0.3">
      <c r="A452" s="2" t="s">
        <v>7</v>
      </c>
      <c r="B452" s="3">
        <v>44482</v>
      </c>
      <c r="C452" s="4">
        <v>2021</v>
      </c>
      <c r="D452" s="2" t="s">
        <v>167</v>
      </c>
      <c r="E452" s="5">
        <v>15</v>
      </c>
      <c r="F452" s="2" t="s">
        <v>211</v>
      </c>
      <c r="G452" s="4" t="str">
        <f>IF(F452="Payment / Credit","Payment",IF(E452&lt;0,"Income","Spend"))</f>
        <v>Spend</v>
      </c>
    </row>
    <row r="453" spans="1:7" ht="15" hidden="1" customHeight="1" x14ac:dyDescent="0.3">
      <c r="A453" s="2" t="s">
        <v>7</v>
      </c>
      <c r="B453" s="3">
        <v>44483</v>
      </c>
      <c r="C453" s="4">
        <v>2021</v>
      </c>
      <c r="D453" s="2" t="s">
        <v>63</v>
      </c>
      <c r="E453" s="5">
        <v>270.16000000000003</v>
      </c>
      <c r="F453" s="2" t="s">
        <v>9</v>
      </c>
      <c r="G453" s="4" t="str">
        <f>IF(F453="Payment / Credit","Payment",IF(E453&lt;0,"Income","Spend"))</f>
        <v>Spend</v>
      </c>
    </row>
    <row r="454" spans="1:7" ht="15" hidden="1" customHeight="1" x14ac:dyDescent="0.3">
      <c r="A454" s="2" t="s">
        <v>7</v>
      </c>
      <c r="B454" s="3">
        <v>44483</v>
      </c>
      <c r="C454" s="4">
        <v>2021</v>
      </c>
      <c r="D454" s="2" t="s">
        <v>125</v>
      </c>
      <c r="E454" s="5">
        <v>58.67</v>
      </c>
      <c r="F454" s="2" t="s">
        <v>11</v>
      </c>
      <c r="G454" s="4" t="str">
        <f>IF(F454="Payment / Credit","Payment",IF(E454&lt;0,"Income","Spend"))</f>
        <v>Spend</v>
      </c>
    </row>
    <row r="455" spans="1:7" ht="15" customHeight="1" x14ac:dyDescent="0.3">
      <c r="A455" s="2" t="s">
        <v>7</v>
      </c>
      <c r="B455" s="3">
        <v>44484</v>
      </c>
      <c r="C455" s="4">
        <v>2021</v>
      </c>
      <c r="D455" s="2" t="s">
        <v>168</v>
      </c>
      <c r="E455" s="5">
        <v>67.849999999999994</v>
      </c>
      <c r="F455" s="2" t="s">
        <v>210</v>
      </c>
      <c r="G455" s="4" t="str">
        <f>IF(F455="Payment / Credit","Payment",IF(E455&lt;0,"Income","Spend"))</f>
        <v>Spend</v>
      </c>
    </row>
    <row r="456" spans="1:7" ht="15" hidden="1" customHeight="1" x14ac:dyDescent="0.3">
      <c r="A456" s="2" t="s">
        <v>7</v>
      </c>
      <c r="B456" s="3">
        <v>44484</v>
      </c>
      <c r="C456" s="4">
        <v>2021</v>
      </c>
      <c r="D456" s="2" t="s">
        <v>69</v>
      </c>
      <c r="E456" s="5">
        <v>21.85</v>
      </c>
      <c r="F456" s="2" t="s">
        <v>9</v>
      </c>
      <c r="G456" s="4" t="str">
        <f>IF(F456="Payment / Credit","Payment",IF(E456&lt;0,"Income","Spend"))</f>
        <v>Spend</v>
      </c>
    </row>
    <row r="457" spans="1:7" ht="15" hidden="1" customHeight="1" x14ac:dyDescent="0.3">
      <c r="A457" s="2" t="s">
        <v>7</v>
      </c>
      <c r="B457" s="3">
        <v>44484</v>
      </c>
      <c r="C457" s="4">
        <v>2021</v>
      </c>
      <c r="D457" s="2" t="s">
        <v>57</v>
      </c>
      <c r="E457" s="5">
        <v>2.21</v>
      </c>
      <c r="F457" s="2" t="s">
        <v>17</v>
      </c>
      <c r="G457" s="4" t="str">
        <f>IF(F457="Payment / Credit","Payment",IF(E457&lt;0,"Income","Spend"))</f>
        <v>Spend</v>
      </c>
    </row>
    <row r="458" spans="1:7" ht="15" hidden="1" customHeight="1" x14ac:dyDescent="0.3">
      <c r="A458" s="2" t="s">
        <v>7</v>
      </c>
      <c r="B458" s="3">
        <v>44484</v>
      </c>
      <c r="C458" s="4">
        <v>2021</v>
      </c>
      <c r="D458" s="2" t="s">
        <v>35</v>
      </c>
      <c r="E458" s="5">
        <v>28.5</v>
      </c>
      <c r="F458" s="2" t="s">
        <v>9</v>
      </c>
      <c r="G458" s="4" t="str">
        <f>IF(F458="Payment / Credit","Payment",IF(E458&lt;0,"Income","Spend"))</f>
        <v>Spend</v>
      </c>
    </row>
    <row r="459" spans="1:7" ht="15" hidden="1" customHeight="1" x14ac:dyDescent="0.3">
      <c r="A459" s="2" t="s">
        <v>7</v>
      </c>
      <c r="B459" s="3">
        <v>44485</v>
      </c>
      <c r="C459" s="4">
        <v>2021</v>
      </c>
      <c r="D459" s="2" t="s">
        <v>102</v>
      </c>
      <c r="E459" s="5">
        <v>-1391.74</v>
      </c>
      <c r="F459" s="2" t="s">
        <v>47</v>
      </c>
      <c r="G459" s="4" t="str">
        <f>IF(F459="Payment / Credit","Payment",IF(E459&lt;0,"Income","Spend"))</f>
        <v>Payment</v>
      </c>
    </row>
    <row r="460" spans="1:7" ht="15" hidden="1" customHeight="1" x14ac:dyDescent="0.3">
      <c r="A460" s="2" t="s">
        <v>7</v>
      </c>
      <c r="B460" s="3">
        <v>44485</v>
      </c>
      <c r="C460" s="4">
        <v>2021</v>
      </c>
      <c r="D460" s="2" t="s">
        <v>8</v>
      </c>
      <c r="E460" s="5">
        <v>-5.38</v>
      </c>
      <c r="F460" s="2" t="s">
        <v>9</v>
      </c>
      <c r="G460" s="4" t="str">
        <f>IF(F460="Payment / Credit","Payment",IF(E460&lt;0,"Income","Spend"))</f>
        <v>Income</v>
      </c>
    </row>
    <row r="461" spans="1:7" ht="15" hidden="1" customHeight="1" x14ac:dyDescent="0.3">
      <c r="A461" s="2" t="s">
        <v>7</v>
      </c>
      <c r="B461" s="3">
        <v>44485</v>
      </c>
      <c r="C461" s="4">
        <v>2021</v>
      </c>
      <c r="D461" s="2" t="s">
        <v>166</v>
      </c>
      <c r="E461" s="5">
        <v>9.8000000000000007</v>
      </c>
      <c r="F461" s="2" t="s">
        <v>9</v>
      </c>
      <c r="G461" s="4" t="str">
        <f>IF(F461="Payment / Credit","Payment",IF(E461&lt;0,"Income","Spend"))</f>
        <v>Spend</v>
      </c>
    </row>
    <row r="462" spans="1:7" ht="15" hidden="1" customHeight="1" x14ac:dyDescent="0.3">
      <c r="A462" s="2" t="s">
        <v>7</v>
      </c>
      <c r="B462" s="3">
        <v>44485</v>
      </c>
      <c r="C462" s="4">
        <v>2021</v>
      </c>
      <c r="D462" s="2" t="s">
        <v>60</v>
      </c>
      <c r="E462" s="5">
        <v>18.73</v>
      </c>
      <c r="F462" s="2" t="s">
        <v>13</v>
      </c>
      <c r="G462" s="4" t="str">
        <f>IF(F462="Payment / Credit","Payment",IF(E462&lt;0,"Income","Spend"))</f>
        <v>Spend</v>
      </c>
    </row>
    <row r="463" spans="1:7" ht="15" hidden="1" customHeight="1" x14ac:dyDescent="0.3">
      <c r="A463" s="2" t="s">
        <v>7</v>
      </c>
      <c r="B463" s="3">
        <v>44485</v>
      </c>
      <c r="C463" s="4">
        <v>2021</v>
      </c>
      <c r="D463" s="2" t="s">
        <v>136</v>
      </c>
      <c r="E463" s="5">
        <v>15.38</v>
      </c>
      <c r="F463" s="2" t="s">
        <v>123</v>
      </c>
      <c r="G463" s="4" t="str">
        <f>IF(F463="Payment / Credit","Payment",IF(E463&lt;0,"Income","Spend"))</f>
        <v>Spend</v>
      </c>
    </row>
    <row r="464" spans="1:7" ht="15" hidden="1" customHeight="1" x14ac:dyDescent="0.3">
      <c r="A464" s="2" t="s">
        <v>7</v>
      </c>
      <c r="B464" s="3">
        <v>44485</v>
      </c>
      <c r="C464" s="4">
        <v>2021</v>
      </c>
      <c r="D464" s="2" t="s">
        <v>10</v>
      </c>
      <c r="E464" s="5">
        <v>2.39</v>
      </c>
      <c r="F464" s="2" t="s">
        <v>11</v>
      </c>
      <c r="G464" s="4" t="str">
        <f>IF(F464="Payment / Credit","Payment",IF(E464&lt;0,"Income","Spend"))</f>
        <v>Spend</v>
      </c>
    </row>
    <row r="465" spans="1:7" ht="15" hidden="1" customHeight="1" x14ac:dyDescent="0.3">
      <c r="A465" s="2" t="s">
        <v>7</v>
      </c>
      <c r="B465" s="3">
        <v>44486</v>
      </c>
      <c r="C465" s="4">
        <v>2021</v>
      </c>
      <c r="D465" s="2" t="s">
        <v>52</v>
      </c>
      <c r="E465" s="5">
        <v>9.9</v>
      </c>
      <c r="F465" s="2" t="s">
        <v>9</v>
      </c>
      <c r="G465" s="4" t="str">
        <f>IF(F465="Payment / Credit","Payment",IF(E465&lt;0,"Income","Spend"))</f>
        <v>Spend</v>
      </c>
    </row>
    <row r="466" spans="1:7" ht="15" customHeight="1" x14ac:dyDescent="0.3">
      <c r="A466" s="2" t="s">
        <v>7</v>
      </c>
      <c r="B466" s="3">
        <v>44486</v>
      </c>
      <c r="C466" s="4">
        <v>2021</v>
      </c>
      <c r="D466" s="2" t="s">
        <v>168</v>
      </c>
      <c r="E466" s="5">
        <v>15</v>
      </c>
      <c r="F466" s="2" t="s">
        <v>210</v>
      </c>
      <c r="G466" s="4" t="str">
        <f>IF(F466="Payment / Credit","Payment",IF(E466&lt;0,"Income","Spend"))</f>
        <v>Spend</v>
      </c>
    </row>
    <row r="467" spans="1:7" ht="15" customHeight="1" x14ac:dyDescent="0.3">
      <c r="A467" s="2" t="s">
        <v>7</v>
      </c>
      <c r="B467" s="3">
        <v>44486</v>
      </c>
      <c r="C467" s="4">
        <v>2021</v>
      </c>
      <c r="D467" s="2" t="s">
        <v>169</v>
      </c>
      <c r="E467" s="5">
        <v>16.649999999999999</v>
      </c>
      <c r="F467" s="2" t="s">
        <v>210</v>
      </c>
      <c r="G467" s="4" t="str">
        <f>IF(F467="Payment / Credit","Payment",IF(E467&lt;0,"Income","Spend"))</f>
        <v>Spend</v>
      </c>
    </row>
    <row r="468" spans="1:7" ht="15" hidden="1" customHeight="1" x14ac:dyDescent="0.3">
      <c r="A468" s="2" t="s">
        <v>7</v>
      </c>
      <c r="B468" s="3">
        <v>44486</v>
      </c>
      <c r="C468" s="4">
        <v>2021</v>
      </c>
      <c r="D468" s="2" t="s">
        <v>136</v>
      </c>
      <c r="E468" s="5">
        <v>9.89</v>
      </c>
      <c r="F468" s="2" t="s">
        <v>123</v>
      </c>
      <c r="G468" s="4" t="str">
        <f>IF(F468="Payment / Credit","Payment",IF(E468&lt;0,"Income","Spend"))</f>
        <v>Spend</v>
      </c>
    </row>
    <row r="469" spans="1:7" ht="15" customHeight="1" x14ac:dyDescent="0.3">
      <c r="A469" s="2" t="s">
        <v>7</v>
      </c>
      <c r="B469" s="3">
        <v>44486</v>
      </c>
      <c r="C469" s="4">
        <v>2021</v>
      </c>
      <c r="D469" s="2" t="s">
        <v>169</v>
      </c>
      <c r="E469" s="5">
        <v>12.21</v>
      </c>
      <c r="F469" s="2" t="s">
        <v>210</v>
      </c>
      <c r="G469" s="4" t="str">
        <f>IF(F469="Payment / Credit","Payment",IF(E469&lt;0,"Income","Spend"))</f>
        <v>Spend</v>
      </c>
    </row>
    <row r="470" spans="1:7" ht="15" hidden="1" customHeight="1" x14ac:dyDescent="0.3">
      <c r="A470" s="2" t="s">
        <v>7</v>
      </c>
      <c r="B470" s="3">
        <v>44487</v>
      </c>
      <c r="C470" s="4">
        <v>2021</v>
      </c>
      <c r="D470" s="2" t="s">
        <v>69</v>
      </c>
      <c r="E470" s="5">
        <v>8.56</v>
      </c>
      <c r="F470" s="2" t="s">
        <v>9</v>
      </c>
      <c r="G470" s="4" t="str">
        <f>IF(F470="Payment / Credit","Payment",IF(E470&lt;0,"Income","Spend"))</f>
        <v>Spend</v>
      </c>
    </row>
    <row r="471" spans="1:7" ht="15" hidden="1" customHeight="1" x14ac:dyDescent="0.3">
      <c r="A471" s="2" t="s">
        <v>7</v>
      </c>
      <c r="B471" s="3">
        <v>44490</v>
      </c>
      <c r="C471" s="4">
        <v>2021</v>
      </c>
      <c r="D471" s="2" t="s">
        <v>60</v>
      </c>
      <c r="E471" s="5">
        <v>3.66</v>
      </c>
      <c r="F471" s="2" t="s">
        <v>13</v>
      </c>
      <c r="G471" s="4" t="str">
        <f>IF(F471="Payment / Credit","Payment",IF(E471&lt;0,"Income","Spend"))</f>
        <v>Spend</v>
      </c>
    </row>
    <row r="472" spans="1:7" ht="15" hidden="1" customHeight="1" x14ac:dyDescent="0.3">
      <c r="A472" s="2" t="s">
        <v>7</v>
      </c>
      <c r="B472" s="3">
        <v>44490</v>
      </c>
      <c r="C472" s="4">
        <v>2021</v>
      </c>
      <c r="D472" s="2" t="s">
        <v>8</v>
      </c>
      <c r="E472" s="5">
        <v>0.97</v>
      </c>
      <c r="F472" s="2" t="s">
        <v>9</v>
      </c>
      <c r="G472" s="4" t="str">
        <f>IF(F472="Payment / Credit","Payment",IF(E472&lt;0,"Income","Spend"))</f>
        <v>Spend</v>
      </c>
    </row>
    <row r="473" spans="1:7" ht="15" customHeight="1" x14ac:dyDescent="0.3">
      <c r="A473" s="2" t="s">
        <v>7</v>
      </c>
      <c r="B473" s="3">
        <v>44490</v>
      </c>
      <c r="C473" s="4">
        <v>2021</v>
      </c>
      <c r="D473" s="2" t="s">
        <v>54</v>
      </c>
      <c r="E473" s="5">
        <v>988.39</v>
      </c>
      <c r="F473" s="2" t="s">
        <v>208</v>
      </c>
      <c r="G473" s="4" t="str">
        <f>IF(F473="Payment / Credit","Payment",IF(E473&lt;0,"Income","Spend"))</f>
        <v>Spend</v>
      </c>
    </row>
    <row r="474" spans="1:7" ht="15" hidden="1" customHeight="1" x14ac:dyDescent="0.3">
      <c r="A474" s="2" t="s">
        <v>7</v>
      </c>
      <c r="B474" s="3">
        <v>44491</v>
      </c>
      <c r="C474" s="4">
        <v>2021</v>
      </c>
      <c r="D474" s="2" t="s">
        <v>63</v>
      </c>
      <c r="E474" s="5">
        <v>-16.45</v>
      </c>
      <c r="F474" s="2" t="s">
        <v>9</v>
      </c>
      <c r="G474" s="4" t="str">
        <f>IF(F474="Payment / Credit","Payment",IF(E474&lt;0,"Income","Spend"))</f>
        <v>Income</v>
      </c>
    </row>
    <row r="475" spans="1:7" ht="15" hidden="1" customHeight="1" x14ac:dyDescent="0.3">
      <c r="A475" s="2" t="s">
        <v>7</v>
      </c>
      <c r="B475" s="3">
        <v>44491</v>
      </c>
      <c r="C475" s="4">
        <v>2021</v>
      </c>
      <c r="D475" s="2" t="s">
        <v>63</v>
      </c>
      <c r="E475" s="5">
        <v>42.68</v>
      </c>
      <c r="F475" s="2" t="s">
        <v>9</v>
      </c>
      <c r="G475" s="4" t="str">
        <f>IF(F475="Payment / Credit","Payment",IF(E475&lt;0,"Income","Spend"))</f>
        <v>Spend</v>
      </c>
    </row>
    <row r="476" spans="1:7" ht="15" hidden="1" customHeight="1" x14ac:dyDescent="0.3">
      <c r="A476" s="2" t="s">
        <v>7</v>
      </c>
      <c r="B476" s="3">
        <v>44492</v>
      </c>
      <c r="C476" s="4">
        <v>2021</v>
      </c>
      <c r="D476" s="2" t="s">
        <v>161</v>
      </c>
      <c r="E476" s="5">
        <v>42.6</v>
      </c>
      <c r="F476" s="2" t="s">
        <v>123</v>
      </c>
      <c r="G476" s="4" t="str">
        <f>IF(F476="Payment / Credit","Payment",IF(E476&lt;0,"Income","Spend"))</f>
        <v>Spend</v>
      </c>
    </row>
    <row r="477" spans="1:7" ht="15" hidden="1" customHeight="1" x14ac:dyDescent="0.3">
      <c r="A477" s="2" t="s">
        <v>7</v>
      </c>
      <c r="B477" s="3">
        <v>44492</v>
      </c>
      <c r="C477" s="4">
        <v>2021</v>
      </c>
      <c r="D477" s="2" t="s">
        <v>35</v>
      </c>
      <c r="E477" s="5">
        <v>21.4</v>
      </c>
      <c r="F477" s="2" t="s">
        <v>9</v>
      </c>
      <c r="G477" s="4" t="str">
        <f>IF(F477="Payment / Credit","Payment",IF(E477&lt;0,"Income","Spend"))</f>
        <v>Spend</v>
      </c>
    </row>
    <row r="478" spans="1:7" ht="15" hidden="1" customHeight="1" x14ac:dyDescent="0.3">
      <c r="A478" s="2" t="s">
        <v>7</v>
      </c>
      <c r="B478" s="3">
        <v>44492</v>
      </c>
      <c r="C478" s="4">
        <v>2021</v>
      </c>
      <c r="D478" s="2" t="s">
        <v>170</v>
      </c>
      <c r="E478" s="5">
        <v>2.86</v>
      </c>
      <c r="F478" s="2" t="s">
        <v>17</v>
      </c>
      <c r="G478" s="4" t="str">
        <f>IF(F478="Payment / Credit","Payment",IF(E478&lt;0,"Income","Spend"))</f>
        <v>Spend</v>
      </c>
    </row>
    <row r="479" spans="1:7" ht="15" hidden="1" customHeight="1" x14ac:dyDescent="0.3">
      <c r="A479" s="2" t="s">
        <v>7</v>
      </c>
      <c r="B479" s="3">
        <v>44492</v>
      </c>
      <c r="C479" s="4">
        <v>2021</v>
      </c>
      <c r="D479" s="2" t="s">
        <v>171</v>
      </c>
      <c r="E479" s="5">
        <v>22.16</v>
      </c>
      <c r="F479" s="2" t="s">
        <v>9</v>
      </c>
      <c r="G479" s="4" t="str">
        <f>IF(F479="Payment / Credit","Payment",IF(E479&lt;0,"Income","Spend"))</f>
        <v>Spend</v>
      </c>
    </row>
    <row r="480" spans="1:7" ht="15" hidden="1" customHeight="1" x14ac:dyDescent="0.3">
      <c r="A480" s="2" t="s">
        <v>7</v>
      </c>
      <c r="B480" s="3">
        <v>44493</v>
      </c>
      <c r="C480" s="4">
        <v>2021</v>
      </c>
      <c r="D480" s="2" t="s">
        <v>157</v>
      </c>
      <c r="E480" s="5">
        <v>31.88</v>
      </c>
      <c r="F480" s="2" t="s">
        <v>13</v>
      </c>
      <c r="G480" s="4" t="str">
        <f>IF(F480="Payment / Credit","Payment",IF(E480&lt;0,"Income","Spend"))</f>
        <v>Spend</v>
      </c>
    </row>
    <row r="481" spans="1:7" ht="15" hidden="1" customHeight="1" x14ac:dyDescent="0.3">
      <c r="A481" s="2" t="s">
        <v>7</v>
      </c>
      <c r="B481" s="3">
        <v>44494</v>
      </c>
      <c r="C481" s="4">
        <v>2021</v>
      </c>
      <c r="D481" s="2" t="s">
        <v>8</v>
      </c>
      <c r="E481" s="5">
        <v>12.36</v>
      </c>
      <c r="F481" s="2" t="s">
        <v>9</v>
      </c>
      <c r="G481" s="4" t="str">
        <f>IF(F481="Payment / Credit","Payment",IF(E481&lt;0,"Income","Spend"))</f>
        <v>Spend</v>
      </c>
    </row>
    <row r="482" spans="1:7" ht="15" hidden="1" customHeight="1" x14ac:dyDescent="0.3">
      <c r="A482" s="2" t="s">
        <v>7</v>
      </c>
      <c r="B482" s="3">
        <v>44494</v>
      </c>
      <c r="C482" s="4">
        <v>2021</v>
      </c>
      <c r="D482" s="2" t="s">
        <v>158</v>
      </c>
      <c r="E482" s="5">
        <v>2.74</v>
      </c>
      <c r="F482" s="2" t="s">
        <v>17</v>
      </c>
      <c r="G482" s="4" t="str">
        <f>IF(F482="Payment / Credit","Payment",IF(E482&lt;0,"Income","Spend"))</f>
        <v>Spend</v>
      </c>
    </row>
    <row r="483" spans="1:7" ht="15" hidden="1" customHeight="1" x14ac:dyDescent="0.3">
      <c r="A483" s="2" t="s">
        <v>7</v>
      </c>
      <c r="B483" s="3">
        <v>44496</v>
      </c>
      <c r="C483" s="4">
        <v>2021</v>
      </c>
      <c r="D483" s="2" t="s">
        <v>8</v>
      </c>
      <c r="E483" s="5">
        <v>4.79</v>
      </c>
      <c r="F483" s="2" t="s">
        <v>9</v>
      </c>
      <c r="G483" s="4" t="str">
        <f>IF(F483="Payment / Credit","Payment",IF(E483&lt;0,"Income","Spend"))</f>
        <v>Spend</v>
      </c>
    </row>
    <row r="484" spans="1:7" ht="15" hidden="1" customHeight="1" x14ac:dyDescent="0.3">
      <c r="A484" s="2" t="s">
        <v>7</v>
      </c>
      <c r="B484" s="3">
        <v>44499</v>
      </c>
      <c r="C484" s="4">
        <v>2021</v>
      </c>
      <c r="D484" s="2" t="s">
        <v>172</v>
      </c>
      <c r="E484" s="5">
        <v>5.24</v>
      </c>
      <c r="F484" s="2" t="s">
        <v>17</v>
      </c>
      <c r="G484" s="4" t="str">
        <f>IF(F484="Payment / Credit","Payment",IF(E484&lt;0,"Income","Spend"))</f>
        <v>Spend</v>
      </c>
    </row>
    <row r="485" spans="1:7" ht="15" hidden="1" customHeight="1" x14ac:dyDescent="0.3">
      <c r="A485" s="2" t="s">
        <v>7</v>
      </c>
      <c r="B485" s="3">
        <v>44499</v>
      </c>
      <c r="C485" s="4">
        <v>2021</v>
      </c>
      <c r="D485" s="2" t="s">
        <v>153</v>
      </c>
      <c r="E485" s="5">
        <v>33.72</v>
      </c>
      <c r="F485" s="2" t="s">
        <v>9</v>
      </c>
      <c r="G485" s="4" t="str">
        <f>IF(F485="Payment / Credit","Payment",IF(E485&lt;0,"Income","Spend"))</f>
        <v>Spend</v>
      </c>
    </row>
    <row r="486" spans="1:7" ht="15" hidden="1" customHeight="1" x14ac:dyDescent="0.3">
      <c r="A486" s="2" t="s">
        <v>7</v>
      </c>
      <c r="B486" s="3">
        <v>44499</v>
      </c>
      <c r="C486" s="4">
        <v>2021</v>
      </c>
      <c r="D486" s="2" t="s">
        <v>8</v>
      </c>
      <c r="E486" s="5">
        <v>7.4</v>
      </c>
      <c r="F486" s="2" t="s">
        <v>9</v>
      </c>
      <c r="G486" s="4" t="str">
        <f>IF(F486="Payment / Credit","Payment",IF(E486&lt;0,"Income","Spend"))</f>
        <v>Spend</v>
      </c>
    </row>
    <row r="487" spans="1:7" ht="15" hidden="1" customHeight="1" x14ac:dyDescent="0.3">
      <c r="A487" s="2" t="s">
        <v>7</v>
      </c>
      <c r="B487" s="3">
        <v>44499</v>
      </c>
      <c r="C487" s="4">
        <v>2021</v>
      </c>
      <c r="D487" s="2" t="s">
        <v>52</v>
      </c>
      <c r="E487" s="5">
        <v>34.75</v>
      </c>
      <c r="F487" s="2" t="s">
        <v>9</v>
      </c>
      <c r="G487" s="4" t="str">
        <f>IF(F487="Payment / Credit","Payment",IF(E487&lt;0,"Income","Spend"))</f>
        <v>Spend</v>
      </c>
    </row>
    <row r="488" spans="1:7" ht="15" hidden="1" customHeight="1" x14ac:dyDescent="0.3">
      <c r="A488" s="2" t="s">
        <v>7</v>
      </c>
      <c r="B488" s="3">
        <v>44499</v>
      </c>
      <c r="C488" s="4">
        <v>2021</v>
      </c>
      <c r="D488" s="2" t="s">
        <v>173</v>
      </c>
      <c r="E488" s="5">
        <v>35.130000000000003</v>
      </c>
      <c r="F488" s="2" t="s">
        <v>50</v>
      </c>
      <c r="G488" s="4" t="str">
        <f>IF(F488="Payment / Credit","Payment",IF(E488&lt;0,"Income","Spend"))</f>
        <v>Spend</v>
      </c>
    </row>
    <row r="489" spans="1:7" ht="15" hidden="1" customHeight="1" x14ac:dyDescent="0.3">
      <c r="A489" s="2" t="s">
        <v>7</v>
      </c>
      <c r="B489" s="3">
        <v>44499</v>
      </c>
      <c r="C489" s="4">
        <v>2021</v>
      </c>
      <c r="D489" s="2" t="s">
        <v>174</v>
      </c>
      <c r="E489" s="5">
        <v>14.29</v>
      </c>
      <c r="F489" s="2" t="s">
        <v>13</v>
      </c>
      <c r="G489" s="4" t="str">
        <f>IF(F489="Payment / Credit","Payment",IF(E489&lt;0,"Income","Spend"))</f>
        <v>Spend</v>
      </c>
    </row>
    <row r="490" spans="1:7" ht="15" hidden="1" customHeight="1" x14ac:dyDescent="0.3">
      <c r="A490" s="2" t="s">
        <v>7</v>
      </c>
      <c r="B490" s="3">
        <v>44499</v>
      </c>
      <c r="C490" s="4">
        <v>2021</v>
      </c>
      <c r="D490" s="2" t="s">
        <v>175</v>
      </c>
      <c r="E490" s="5">
        <v>50.27</v>
      </c>
      <c r="F490" s="2" t="s">
        <v>13</v>
      </c>
      <c r="G490" s="4" t="str">
        <f>IF(F490="Payment / Credit","Payment",IF(E490&lt;0,"Income","Spend"))</f>
        <v>Spend</v>
      </c>
    </row>
    <row r="491" spans="1:7" ht="15" hidden="1" customHeight="1" x14ac:dyDescent="0.3">
      <c r="A491" s="2" t="s">
        <v>7</v>
      </c>
      <c r="B491" s="3">
        <v>44499</v>
      </c>
      <c r="C491" s="4">
        <v>2021</v>
      </c>
      <c r="D491" s="2" t="s">
        <v>176</v>
      </c>
      <c r="E491" s="5">
        <v>18.45</v>
      </c>
      <c r="F491" s="2" t="s">
        <v>13</v>
      </c>
      <c r="G491" s="4" t="str">
        <f>IF(F491="Payment / Credit","Payment",IF(E491&lt;0,"Income","Spend"))</f>
        <v>Spend</v>
      </c>
    </row>
    <row r="492" spans="1:7" ht="15" hidden="1" customHeight="1" x14ac:dyDescent="0.3">
      <c r="A492" s="2" t="s">
        <v>7</v>
      </c>
      <c r="B492" s="3">
        <v>44500</v>
      </c>
      <c r="C492" s="4">
        <v>2021</v>
      </c>
      <c r="D492" s="2" t="s">
        <v>78</v>
      </c>
      <c r="E492" s="5">
        <v>15.55</v>
      </c>
      <c r="F492" s="2" t="s">
        <v>17</v>
      </c>
      <c r="G492" s="4" t="str">
        <f>IF(F492="Payment / Credit","Payment",IF(E492&lt;0,"Income","Spend"))</f>
        <v>Spend</v>
      </c>
    </row>
    <row r="493" spans="1:7" ht="15" customHeight="1" x14ac:dyDescent="0.3">
      <c r="A493" s="2" t="s">
        <v>7</v>
      </c>
      <c r="B493" s="3">
        <v>44500</v>
      </c>
      <c r="C493" s="4">
        <v>2021</v>
      </c>
      <c r="D493" s="2" t="s">
        <v>177</v>
      </c>
      <c r="E493" s="5">
        <v>20</v>
      </c>
      <c r="F493" s="2" t="s">
        <v>209</v>
      </c>
      <c r="G493" s="4" t="str">
        <f>IF(F493="Payment / Credit","Payment",IF(E493&lt;0,"Income","Spend"))</f>
        <v>Spend</v>
      </c>
    </row>
    <row r="494" spans="1:7" ht="15" hidden="1" customHeight="1" x14ac:dyDescent="0.3">
      <c r="A494" s="2" t="s">
        <v>7</v>
      </c>
      <c r="B494" s="3">
        <v>44500</v>
      </c>
      <c r="C494" s="4">
        <v>2021</v>
      </c>
      <c r="D494" s="2" t="s">
        <v>66</v>
      </c>
      <c r="E494" s="5">
        <v>31.94</v>
      </c>
      <c r="F494" s="2" t="s">
        <v>13</v>
      </c>
      <c r="G494" s="4" t="str">
        <f>IF(F494="Payment / Credit","Payment",IF(E494&lt;0,"Income","Spend"))</f>
        <v>Spend</v>
      </c>
    </row>
    <row r="495" spans="1:7" ht="15" hidden="1" customHeight="1" x14ac:dyDescent="0.3">
      <c r="A495" s="2" t="s">
        <v>7</v>
      </c>
      <c r="B495" s="3">
        <v>44502</v>
      </c>
      <c r="C495" s="4">
        <v>2021</v>
      </c>
      <c r="D495" s="2" t="s">
        <v>63</v>
      </c>
      <c r="E495" s="5">
        <v>161.59</v>
      </c>
      <c r="F495" s="2" t="s">
        <v>9</v>
      </c>
      <c r="G495" s="4" t="str">
        <f>IF(F495="Payment / Credit","Payment",IF(E495&lt;0,"Income","Spend"))</f>
        <v>Spend</v>
      </c>
    </row>
    <row r="496" spans="1:7" ht="15" hidden="1" customHeight="1" x14ac:dyDescent="0.3">
      <c r="A496" s="2" t="s">
        <v>7</v>
      </c>
      <c r="B496" s="3">
        <v>44502</v>
      </c>
      <c r="C496" s="4">
        <v>2021</v>
      </c>
      <c r="D496" s="2" t="s">
        <v>125</v>
      </c>
      <c r="E496" s="5">
        <v>59.07</v>
      </c>
      <c r="F496" s="2" t="s">
        <v>11</v>
      </c>
      <c r="G496" s="4" t="str">
        <f>IF(F496="Payment / Credit","Payment",IF(E496&lt;0,"Income","Spend"))</f>
        <v>Spend</v>
      </c>
    </row>
    <row r="497" spans="1:7" ht="15" customHeight="1" x14ac:dyDescent="0.3">
      <c r="A497" s="2" t="s">
        <v>7</v>
      </c>
      <c r="B497" s="3">
        <v>44502</v>
      </c>
      <c r="C497" s="4">
        <v>2021</v>
      </c>
      <c r="D497" s="2" t="s">
        <v>178</v>
      </c>
      <c r="E497" s="5">
        <v>120</v>
      </c>
      <c r="F497" s="2" t="s">
        <v>9</v>
      </c>
      <c r="G497" s="4" t="str">
        <f>IF(F497="Payment / Credit","Payment",IF(E497&lt;0,"Income","Spend"))</f>
        <v>Spend</v>
      </c>
    </row>
    <row r="498" spans="1:7" ht="15" customHeight="1" x14ac:dyDescent="0.3">
      <c r="A498" s="2" t="s">
        <v>7</v>
      </c>
      <c r="B498" s="3">
        <v>44503</v>
      </c>
      <c r="C498" s="4">
        <v>2021</v>
      </c>
      <c r="D498" s="2" t="s">
        <v>54</v>
      </c>
      <c r="E498" s="5">
        <v>671.15</v>
      </c>
      <c r="F498" s="2" t="s">
        <v>208</v>
      </c>
      <c r="G498" s="4" t="str">
        <f>IF(F498="Payment / Credit","Payment",IF(E498&lt;0,"Income","Spend"))</f>
        <v>Spend</v>
      </c>
    </row>
    <row r="499" spans="1:7" ht="15" hidden="1" customHeight="1" x14ac:dyDescent="0.3">
      <c r="A499" s="2" t="s">
        <v>7</v>
      </c>
      <c r="B499" s="3">
        <v>44505</v>
      </c>
      <c r="C499" s="4">
        <v>2021</v>
      </c>
      <c r="D499" s="2" t="s">
        <v>78</v>
      </c>
      <c r="E499" s="5">
        <v>11.11</v>
      </c>
      <c r="F499" s="2" t="s">
        <v>17</v>
      </c>
      <c r="G499" s="4" t="str">
        <f>IF(F499="Payment / Credit","Payment",IF(E499&lt;0,"Income","Spend"))</f>
        <v>Spend</v>
      </c>
    </row>
    <row r="500" spans="1:7" ht="15" hidden="1" customHeight="1" x14ac:dyDescent="0.3">
      <c r="A500" s="2" t="s">
        <v>7</v>
      </c>
      <c r="B500" s="3">
        <v>44506</v>
      </c>
      <c r="C500" s="4">
        <v>2021</v>
      </c>
      <c r="D500" s="2" t="s">
        <v>179</v>
      </c>
      <c r="E500" s="5">
        <v>9.83</v>
      </c>
      <c r="F500" s="2" t="s">
        <v>13</v>
      </c>
      <c r="G500" s="4" t="str">
        <f>IF(F500="Payment / Credit","Payment",IF(E500&lt;0,"Income","Spend"))</f>
        <v>Spend</v>
      </c>
    </row>
    <row r="501" spans="1:7" ht="15" hidden="1" customHeight="1" x14ac:dyDescent="0.3">
      <c r="A501" s="2" t="s">
        <v>7</v>
      </c>
      <c r="B501" s="3">
        <v>44507</v>
      </c>
      <c r="C501" s="4">
        <v>2021</v>
      </c>
      <c r="D501" s="2" t="s">
        <v>66</v>
      </c>
      <c r="E501" s="5">
        <v>-9.92</v>
      </c>
      <c r="F501" s="2" t="s">
        <v>13</v>
      </c>
      <c r="G501" s="4" t="str">
        <f>IF(F501="Payment / Credit","Payment",IF(E501&lt;0,"Income","Spend"))</f>
        <v>Income</v>
      </c>
    </row>
    <row r="502" spans="1:7" ht="15" hidden="1" customHeight="1" x14ac:dyDescent="0.3">
      <c r="A502" s="2" t="s">
        <v>7</v>
      </c>
      <c r="B502" s="3">
        <v>44507</v>
      </c>
      <c r="C502" s="4">
        <v>2021</v>
      </c>
      <c r="D502" s="2" t="s">
        <v>37</v>
      </c>
      <c r="E502" s="5">
        <v>44.06</v>
      </c>
      <c r="F502" s="2" t="s">
        <v>17</v>
      </c>
      <c r="G502" s="4" t="str">
        <f>IF(F502="Payment / Credit","Payment",IF(E502&lt;0,"Income","Spend"))</f>
        <v>Spend</v>
      </c>
    </row>
    <row r="503" spans="1:7" ht="15" hidden="1" customHeight="1" x14ac:dyDescent="0.3">
      <c r="A503" s="2" t="s">
        <v>7</v>
      </c>
      <c r="B503" s="3">
        <v>44507</v>
      </c>
      <c r="C503" s="4">
        <v>2021</v>
      </c>
      <c r="D503" s="2" t="s">
        <v>69</v>
      </c>
      <c r="E503" s="5">
        <v>52.46</v>
      </c>
      <c r="F503" s="2" t="s">
        <v>9</v>
      </c>
      <c r="G503" s="4" t="str">
        <f>IF(F503="Payment / Credit","Payment",IF(E503&lt;0,"Income","Spend"))</f>
        <v>Spend</v>
      </c>
    </row>
    <row r="504" spans="1:7" ht="15" hidden="1" customHeight="1" x14ac:dyDescent="0.3">
      <c r="A504" s="2" t="s">
        <v>7</v>
      </c>
      <c r="B504" s="3">
        <v>44508</v>
      </c>
      <c r="C504" s="4">
        <v>2021</v>
      </c>
      <c r="D504" s="2" t="s">
        <v>120</v>
      </c>
      <c r="E504" s="5">
        <v>3.64</v>
      </c>
      <c r="F504" s="2" t="s">
        <v>17</v>
      </c>
      <c r="G504" s="4" t="str">
        <f>IF(F504="Payment / Credit","Payment",IF(E504&lt;0,"Income","Spend"))</f>
        <v>Spend</v>
      </c>
    </row>
    <row r="505" spans="1:7" ht="15" hidden="1" customHeight="1" x14ac:dyDescent="0.3">
      <c r="A505" s="2" t="s">
        <v>7</v>
      </c>
      <c r="B505" s="3">
        <v>44508</v>
      </c>
      <c r="C505" s="4">
        <v>2021</v>
      </c>
      <c r="D505" s="2" t="s">
        <v>52</v>
      </c>
      <c r="E505" s="5">
        <v>6.63</v>
      </c>
      <c r="F505" s="2" t="s">
        <v>9</v>
      </c>
      <c r="G505" s="4" t="str">
        <f>IF(F505="Payment / Credit","Payment",IF(E505&lt;0,"Income","Spend"))</f>
        <v>Spend</v>
      </c>
    </row>
    <row r="506" spans="1:7" ht="15" hidden="1" customHeight="1" x14ac:dyDescent="0.3">
      <c r="A506" s="2" t="s">
        <v>7</v>
      </c>
      <c r="B506" s="3">
        <v>44508</v>
      </c>
      <c r="C506" s="4">
        <v>2021</v>
      </c>
      <c r="D506" s="2" t="s">
        <v>69</v>
      </c>
      <c r="E506" s="5">
        <v>3.57</v>
      </c>
      <c r="F506" s="2" t="s">
        <v>9</v>
      </c>
      <c r="G506" s="4" t="str">
        <f>IF(F506="Payment / Credit","Payment",IF(E506&lt;0,"Income","Spend"))</f>
        <v>Spend</v>
      </c>
    </row>
    <row r="507" spans="1:7" ht="15" hidden="1" customHeight="1" x14ac:dyDescent="0.3">
      <c r="A507" s="2" t="s">
        <v>7</v>
      </c>
      <c r="B507" s="3">
        <v>44509</v>
      </c>
      <c r="C507" s="4">
        <v>2021</v>
      </c>
      <c r="D507" s="2" t="s">
        <v>52</v>
      </c>
      <c r="E507" s="5">
        <v>4.08</v>
      </c>
      <c r="F507" s="2" t="s">
        <v>9</v>
      </c>
      <c r="G507" s="4" t="str">
        <f>IF(F507="Payment / Credit","Payment",IF(E507&lt;0,"Income","Spend"))</f>
        <v>Spend</v>
      </c>
    </row>
    <row r="508" spans="1:7" ht="15" hidden="1" customHeight="1" x14ac:dyDescent="0.3">
      <c r="A508" s="2" t="s">
        <v>7</v>
      </c>
      <c r="B508" s="3">
        <v>44513</v>
      </c>
      <c r="C508" s="4">
        <v>2021</v>
      </c>
      <c r="D508" s="2" t="s">
        <v>44</v>
      </c>
      <c r="E508" s="5">
        <v>17.8</v>
      </c>
      <c r="F508" s="2" t="s">
        <v>17</v>
      </c>
      <c r="G508" s="4" t="str">
        <f>IF(F508="Payment / Credit","Payment",IF(E508&lt;0,"Income","Spend"))</f>
        <v>Spend</v>
      </c>
    </row>
    <row r="509" spans="1:7" ht="15" hidden="1" customHeight="1" x14ac:dyDescent="0.3">
      <c r="A509" s="2" t="s">
        <v>7</v>
      </c>
      <c r="B509" s="3">
        <v>44519</v>
      </c>
      <c r="C509" s="4">
        <v>2021</v>
      </c>
      <c r="D509" s="2" t="s">
        <v>44</v>
      </c>
      <c r="E509" s="5">
        <v>17.8</v>
      </c>
      <c r="F509" s="2" t="s">
        <v>17</v>
      </c>
      <c r="G509" s="4" t="str">
        <f>IF(F509="Payment / Credit","Payment",IF(E509&lt;0,"Income","Spend"))</f>
        <v>Spend</v>
      </c>
    </row>
    <row r="510" spans="1:7" ht="15" hidden="1" customHeight="1" x14ac:dyDescent="0.3">
      <c r="A510" s="2" t="s">
        <v>7</v>
      </c>
      <c r="B510" s="3">
        <v>44520</v>
      </c>
      <c r="C510" s="4">
        <v>2021</v>
      </c>
      <c r="D510" s="2" t="s">
        <v>60</v>
      </c>
      <c r="E510" s="5">
        <v>3.35</v>
      </c>
      <c r="F510" s="2" t="s">
        <v>13</v>
      </c>
      <c r="G510" s="4" t="str">
        <f>IF(F510="Payment / Credit","Payment",IF(E510&lt;0,"Income","Spend"))</f>
        <v>Spend</v>
      </c>
    </row>
    <row r="511" spans="1:7" ht="15" hidden="1" customHeight="1" x14ac:dyDescent="0.3">
      <c r="A511" s="2" t="s">
        <v>7</v>
      </c>
      <c r="B511" s="3">
        <v>44520</v>
      </c>
      <c r="C511" s="4">
        <v>2021</v>
      </c>
      <c r="D511" s="2" t="s">
        <v>152</v>
      </c>
      <c r="E511" s="5">
        <v>18.760000000000002</v>
      </c>
      <c r="F511" s="2" t="s">
        <v>17</v>
      </c>
      <c r="G511" s="4" t="str">
        <f>IF(F511="Payment / Credit","Payment",IF(E511&lt;0,"Income","Spend"))</f>
        <v>Spend</v>
      </c>
    </row>
    <row r="512" spans="1:7" ht="15" hidden="1" customHeight="1" x14ac:dyDescent="0.3">
      <c r="A512" s="2" t="s">
        <v>7</v>
      </c>
      <c r="B512" s="3">
        <v>44520</v>
      </c>
      <c r="C512" s="4">
        <v>2021</v>
      </c>
      <c r="D512" s="2" t="s">
        <v>180</v>
      </c>
      <c r="E512" s="5">
        <v>17.55</v>
      </c>
      <c r="F512" s="2" t="s">
        <v>13</v>
      </c>
      <c r="G512" s="4" t="str">
        <f>IF(F512="Payment / Credit","Payment",IF(E512&lt;0,"Income","Spend"))</f>
        <v>Spend</v>
      </c>
    </row>
    <row r="513" spans="1:7" ht="15" hidden="1" customHeight="1" x14ac:dyDescent="0.3">
      <c r="A513" s="2" t="s">
        <v>7</v>
      </c>
      <c r="B513" s="3">
        <v>44520</v>
      </c>
      <c r="C513" s="4">
        <v>2021</v>
      </c>
      <c r="D513" s="2" t="s">
        <v>181</v>
      </c>
      <c r="E513" s="5">
        <v>20.99</v>
      </c>
      <c r="F513" s="2" t="s">
        <v>13</v>
      </c>
      <c r="G513" s="4" t="str">
        <f>IF(F513="Payment / Credit","Payment",IF(E513&lt;0,"Income","Spend"))</f>
        <v>Spend</v>
      </c>
    </row>
    <row r="514" spans="1:7" ht="15" hidden="1" customHeight="1" x14ac:dyDescent="0.3">
      <c r="A514" s="2" t="s">
        <v>7</v>
      </c>
      <c r="B514" s="3">
        <v>44520</v>
      </c>
      <c r="C514" s="4">
        <v>2021</v>
      </c>
      <c r="D514" s="2" t="s">
        <v>182</v>
      </c>
      <c r="E514" s="5">
        <v>28.65</v>
      </c>
      <c r="F514" s="2" t="s">
        <v>13</v>
      </c>
      <c r="G514" s="4" t="str">
        <f>IF(F514="Payment / Credit","Payment",IF(E514&lt;0,"Income","Spend"))</f>
        <v>Spend</v>
      </c>
    </row>
    <row r="515" spans="1:7" ht="15" hidden="1" customHeight="1" x14ac:dyDescent="0.3">
      <c r="A515" s="2" t="s">
        <v>7</v>
      </c>
      <c r="B515" s="3">
        <v>44520</v>
      </c>
      <c r="C515" s="4">
        <v>2021</v>
      </c>
      <c r="D515" s="2" t="s">
        <v>60</v>
      </c>
      <c r="E515" s="5">
        <v>4.79</v>
      </c>
      <c r="F515" s="2" t="s">
        <v>13</v>
      </c>
      <c r="G515" s="4" t="str">
        <f>IF(F515="Payment / Credit","Payment",IF(E515&lt;0,"Income","Spend"))</f>
        <v>Spend</v>
      </c>
    </row>
    <row r="516" spans="1:7" ht="15" hidden="1" customHeight="1" x14ac:dyDescent="0.3">
      <c r="A516" s="2" t="s">
        <v>7</v>
      </c>
      <c r="B516" s="3">
        <v>44520</v>
      </c>
      <c r="C516" s="4">
        <v>2021</v>
      </c>
      <c r="D516" s="2" t="s">
        <v>85</v>
      </c>
      <c r="E516" s="5">
        <v>40.75</v>
      </c>
      <c r="F516" s="2" t="s">
        <v>13</v>
      </c>
      <c r="G516" s="4" t="str">
        <f>IF(F516="Payment / Credit","Payment",IF(E516&lt;0,"Income","Spend"))</f>
        <v>Spend</v>
      </c>
    </row>
    <row r="517" spans="1:7" ht="15" hidden="1" customHeight="1" x14ac:dyDescent="0.3">
      <c r="A517" s="2" t="s">
        <v>7</v>
      </c>
      <c r="B517" s="3">
        <v>44521</v>
      </c>
      <c r="C517" s="4">
        <v>2021</v>
      </c>
      <c r="D517" s="2" t="s">
        <v>52</v>
      </c>
      <c r="E517" s="5">
        <v>6.83</v>
      </c>
      <c r="F517" s="2" t="s">
        <v>9</v>
      </c>
      <c r="G517" s="4" t="str">
        <f>IF(F517="Payment / Credit","Payment",IF(E517&lt;0,"Income","Spend"))</f>
        <v>Spend</v>
      </c>
    </row>
    <row r="518" spans="1:7" ht="15" hidden="1" customHeight="1" x14ac:dyDescent="0.3">
      <c r="A518" s="2" t="s">
        <v>7</v>
      </c>
      <c r="B518" s="3">
        <v>44521</v>
      </c>
      <c r="C518" s="4">
        <v>2021</v>
      </c>
      <c r="D518" s="2" t="s">
        <v>153</v>
      </c>
      <c r="E518" s="5">
        <v>20.47</v>
      </c>
      <c r="F518" s="2" t="s">
        <v>9</v>
      </c>
      <c r="G518" s="4" t="str">
        <f>IF(F518="Payment / Credit","Payment",IF(E518&lt;0,"Income","Spend"))</f>
        <v>Spend</v>
      </c>
    </row>
    <row r="519" spans="1:7" ht="15" hidden="1" customHeight="1" x14ac:dyDescent="0.3">
      <c r="A519" s="2" t="s">
        <v>7</v>
      </c>
      <c r="B519" s="3">
        <v>44521</v>
      </c>
      <c r="C519" s="4">
        <v>2021</v>
      </c>
      <c r="D519" s="2" t="s">
        <v>66</v>
      </c>
      <c r="E519" s="5">
        <v>7.71</v>
      </c>
      <c r="F519" s="2" t="s">
        <v>13</v>
      </c>
      <c r="G519" s="4" t="str">
        <f>IF(F519="Payment / Credit","Payment",IF(E519&lt;0,"Income","Spend"))</f>
        <v>Spend</v>
      </c>
    </row>
    <row r="520" spans="1:7" ht="15" hidden="1" customHeight="1" x14ac:dyDescent="0.3">
      <c r="A520" s="2" t="s">
        <v>7</v>
      </c>
      <c r="B520" s="3">
        <v>44521</v>
      </c>
      <c r="C520" s="4">
        <v>2021</v>
      </c>
      <c r="D520" s="2" t="s">
        <v>183</v>
      </c>
      <c r="E520" s="5">
        <v>36.6</v>
      </c>
      <c r="F520" s="2" t="s">
        <v>9</v>
      </c>
      <c r="G520" s="4" t="str">
        <f>IF(F520="Payment / Credit","Payment",IF(E520&lt;0,"Income","Spend"))</f>
        <v>Spend</v>
      </c>
    </row>
    <row r="521" spans="1:7" ht="15" hidden="1" customHeight="1" x14ac:dyDescent="0.3">
      <c r="A521" s="2" t="s">
        <v>7</v>
      </c>
      <c r="B521" s="3">
        <v>44521</v>
      </c>
      <c r="C521" s="4">
        <v>2021</v>
      </c>
      <c r="D521" s="2" t="s">
        <v>133</v>
      </c>
      <c r="E521" s="5">
        <v>49.51</v>
      </c>
      <c r="F521" s="2" t="s">
        <v>9</v>
      </c>
      <c r="G521" s="4" t="str">
        <f>IF(F521="Payment / Credit","Payment",IF(E521&lt;0,"Income","Spend"))</f>
        <v>Spend</v>
      </c>
    </row>
    <row r="522" spans="1:7" ht="15" hidden="1" customHeight="1" x14ac:dyDescent="0.3">
      <c r="A522" s="2" t="s">
        <v>7</v>
      </c>
      <c r="B522" s="3">
        <v>44522</v>
      </c>
      <c r="C522" s="4">
        <v>2021</v>
      </c>
      <c r="D522" s="2" t="s">
        <v>27</v>
      </c>
      <c r="E522" s="5">
        <v>-17.63</v>
      </c>
      <c r="F522" s="2" t="s">
        <v>9</v>
      </c>
      <c r="G522" s="4" t="str">
        <f>IF(F522="Payment / Credit","Payment",IF(E522&lt;0,"Income","Spend"))</f>
        <v>Income</v>
      </c>
    </row>
    <row r="523" spans="1:7" ht="15" hidden="1" customHeight="1" x14ac:dyDescent="0.3">
      <c r="A523" s="2" t="s">
        <v>7</v>
      </c>
      <c r="B523" s="3">
        <v>44522</v>
      </c>
      <c r="C523" s="4">
        <v>2021</v>
      </c>
      <c r="D523" s="2" t="s">
        <v>39</v>
      </c>
      <c r="E523" s="5">
        <v>39.659999999999997</v>
      </c>
      <c r="F523" s="2" t="s">
        <v>11</v>
      </c>
      <c r="G523" s="4" t="str">
        <f>IF(F523="Payment / Credit","Payment",IF(E523&lt;0,"Income","Spend"))</f>
        <v>Spend</v>
      </c>
    </row>
    <row r="524" spans="1:7" ht="15" hidden="1" customHeight="1" x14ac:dyDescent="0.3">
      <c r="A524" s="2" t="s">
        <v>7</v>
      </c>
      <c r="B524" s="3">
        <v>44522</v>
      </c>
      <c r="C524" s="4">
        <v>2021</v>
      </c>
      <c r="D524" s="2" t="s">
        <v>27</v>
      </c>
      <c r="E524" s="5">
        <v>66.73</v>
      </c>
      <c r="F524" s="2" t="s">
        <v>9</v>
      </c>
      <c r="G524" s="4" t="str">
        <f>IF(F524="Payment / Credit","Payment",IF(E524&lt;0,"Income","Spend"))</f>
        <v>Spend</v>
      </c>
    </row>
    <row r="525" spans="1:7" ht="15" hidden="1" customHeight="1" x14ac:dyDescent="0.3">
      <c r="A525" s="2" t="s">
        <v>7</v>
      </c>
      <c r="B525" s="3">
        <v>44522</v>
      </c>
      <c r="C525" s="4">
        <v>2021</v>
      </c>
      <c r="D525" s="2" t="s">
        <v>39</v>
      </c>
      <c r="E525" s="5">
        <v>16.82</v>
      </c>
      <c r="F525" s="2" t="s">
        <v>11</v>
      </c>
      <c r="G525" s="4" t="str">
        <f>IF(F525="Payment / Credit","Payment",IF(E525&lt;0,"Income","Spend"))</f>
        <v>Spend</v>
      </c>
    </row>
    <row r="526" spans="1:7" ht="15" hidden="1" customHeight="1" x14ac:dyDescent="0.3">
      <c r="A526" s="2" t="s">
        <v>7</v>
      </c>
      <c r="B526" s="3">
        <v>44522</v>
      </c>
      <c r="C526" s="4">
        <v>2021</v>
      </c>
      <c r="D526" s="2" t="s">
        <v>184</v>
      </c>
      <c r="E526" s="5">
        <v>13.23</v>
      </c>
      <c r="F526" s="2" t="s">
        <v>13</v>
      </c>
      <c r="G526" s="4" t="str">
        <f>IF(F526="Payment / Credit","Payment",IF(E526&lt;0,"Income","Spend"))</f>
        <v>Spend</v>
      </c>
    </row>
    <row r="527" spans="1:7" ht="15" hidden="1" customHeight="1" x14ac:dyDescent="0.3">
      <c r="A527" s="2" t="s">
        <v>7</v>
      </c>
      <c r="B527" s="3">
        <v>44523</v>
      </c>
      <c r="C527" s="4">
        <v>2021</v>
      </c>
      <c r="D527" s="2" t="s">
        <v>63</v>
      </c>
      <c r="E527" s="5">
        <v>93.99</v>
      </c>
      <c r="F527" s="2" t="s">
        <v>9</v>
      </c>
      <c r="G527" s="4" t="str">
        <f>IF(F527="Payment / Credit","Payment",IF(E527&lt;0,"Income","Spend"))</f>
        <v>Spend</v>
      </c>
    </row>
    <row r="528" spans="1:7" ht="15" hidden="1" customHeight="1" x14ac:dyDescent="0.3">
      <c r="A528" s="2" t="s">
        <v>7</v>
      </c>
      <c r="B528" s="3">
        <v>44523</v>
      </c>
      <c r="C528" s="4">
        <v>2021</v>
      </c>
      <c r="D528" s="2" t="s">
        <v>60</v>
      </c>
      <c r="E528" s="5">
        <v>57.59</v>
      </c>
      <c r="F528" s="2" t="s">
        <v>13</v>
      </c>
      <c r="G528" s="4" t="str">
        <f>IF(F528="Payment / Credit","Payment",IF(E528&lt;0,"Income","Spend"))</f>
        <v>Spend</v>
      </c>
    </row>
    <row r="529" spans="1:7" ht="15" hidden="1" customHeight="1" x14ac:dyDescent="0.3">
      <c r="A529" s="2" t="s">
        <v>7</v>
      </c>
      <c r="B529" s="3">
        <v>44524</v>
      </c>
      <c r="C529" s="4">
        <v>2021</v>
      </c>
      <c r="D529" s="2" t="s">
        <v>185</v>
      </c>
      <c r="E529" s="5">
        <v>-28.65</v>
      </c>
      <c r="F529" s="2" t="s">
        <v>13</v>
      </c>
      <c r="G529" s="4" t="str">
        <f>IF(F529="Payment / Credit","Payment",IF(E529&lt;0,"Income","Spend"))</f>
        <v>Income</v>
      </c>
    </row>
    <row r="530" spans="1:7" ht="15" hidden="1" customHeight="1" x14ac:dyDescent="0.3">
      <c r="A530" s="2" t="s">
        <v>7</v>
      </c>
      <c r="B530" s="3">
        <v>44524</v>
      </c>
      <c r="C530" s="4">
        <v>2021</v>
      </c>
      <c r="D530" s="2" t="s">
        <v>185</v>
      </c>
      <c r="E530" s="5">
        <v>-25.35</v>
      </c>
      <c r="F530" s="2" t="s">
        <v>13</v>
      </c>
      <c r="G530" s="4" t="str">
        <f>IF(F530="Payment / Credit","Payment",IF(E530&lt;0,"Income","Spend"))</f>
        <v>Income</v>
      </c>
    </row>
    <row r="531" spans="1:7" ht="15" hidden="1" customHeight="1" x14ac:dyDescent="0.3">
      <c r="A531" s="2" t="s">
        <v>7</v>
      </c>
      <c r="B531" s="3">
        <v>44524</v>
      </c>
      <c r="C531" s="4">
        <v>2021</v>
      </c>
      <c r="D531" s="2" t="s">
        <v>69</v>
      </c>
      <c r="E531" s="5">
        <v>22.6</v>
      </c>
      <c r="F531" s="2" t="s">
        <v>9</v>
      </c>
      <c r="G531" s="4" t="str">
        <f>IF(F531="Payment / Credit","Payment",IF(E531&lt;0,"Income","Spend"))</f>
        <v>Spend</v>
      </c>
    </row>
    <row r="532" spans="1:7" ht="15" hidden="1" customHeight="1" x14ac:dyDescent="0.3">
      <c r="A532" s="2" t="s">
        <v>7</v>
      </c>
      <c r="B532" s="3">
        <v>44525</v>
      </c>
      <c r="C532" s="4">
        <v>2021</v>
      </c>
      <c r="D532" s="2" t="s">
        <v>69</v>
      </c>
      <c r="E532" s="5">
        <v>4.59</v>
      </c>
      <c r="F532" s="2" t="s">
        <v>9</v>
      </c>
      <c r="G532" s="4" t="str">
        <f>IF(F532="Payment / Credit","Payment",IF(E532&lt;0,"Income","Spend"))</f>
        <v>Spend</v>
      </c>
    </row>
    <row r="533" spans="1:7" ht="15" hidden="1" customHeight="1" x14ac:dyDescent="0.3">
      <c r="A533" s="2" t="s">
        <v>7</v>
      </c>
      <c r="B533" s="3">
        <v>44526</v>
      </c>
      <c r="C533" s="4">
        <v>2021</v>
      </c>
      <c r="D533" s="2" t="s">
        <v>60</v>
      </c>
      <c r="E533" s="5">
        <v>68.53</v>
      </c>
      <c r="F533" s="2" t="s">
        <v>13</v>
      </c>
      <c r="G533" s="4" t="str">
        <f>IF(F533="Payment / Credit","Payment",IF(E533&lt;0,"Income","Spend"))</f>
        <v>Spend</v>
      </c>
    </row>
    <row r="534" spans="1:7" ht="15" hidden="1" customHeight="1" x14ac:dyDescent="0.3">
      <c r="A534" s="2" t="s">
        <v>7</v>
      </c>
      <c r="B534" s="3">
        <v>44526</v>
      </c>
      <c r="C534" s="4">
        <v>2021</v>
      </c>
      <c r="D534" s="2" t="s">
        <v>63</v>
      </c>
      <c r="E534" s="5">
        <v>113.95</v>
      </c>
      <c r="F534" s="2" t="s">
        <v>9</v>
      </c>
      <c r="G534" s="4" t="str">
        <f>IF(F534="Payment / Credit","Payment",IF(E534&lt;0,"Income","Spend"))</f>
        <v>Spend</v>
      </c>
    </row>
    <row r="535" spans="1:7" ht="15" hidden="1" customHeight="1" x14ac:dyDescent="0.3">
      <c r="A535" s="2" t="s">
        <v>7</v>
      </c>
      <c r="B535" s="3">
        <v>44526</v>
      </c>
      <c r="C535" s="4">
        <v>2021</v>
      </c>
      <c r="D535" s="2" t="s">
        <v>35</v>
      </c>
      <c r="E535" s="5">
        <v>19.12</v>
      </c>
      <c r="F535" s="2" t="s">
        <v>9</v>
      </c>
      <c r="G535" s="4" t="str">
        <f>IF(F535="Payment / Credit","Payment",IF(E535&lt;0,"Income","Spend"))</f>
        <v>Spend</v>
      </c>
    </row>
    <row r="536" spans="1:7" ht="15" hidden="1" customHeight="1" x14ac:dyDescent="0.3">
      <c r="A536" s="2" t="s">
        <v>7</v>
      </c>
      <c r="B536" s="3">
        <v>44526</v>
      </c>
      <c r="C536" s="4">
        <v>2021</v>
      </c>
      <c r="D536" s="2" t="s">
        <v>186</v>
      </c>
      <c r="E536" s="5">
        <v>23.62</v>
      </c>
      <c r="F536" s="2" t="s">
        <v>17</v>
      </c>
      <c r="G536" s="4" t="str">
        <f>IF(F536="Payment / Credit","Payment",IF(E536&lt;0,"Income","Spend"))</f>
        <v>Spend</v>
      </c>
    </row>
    <row r="537" spans="1:7" ht="15" hidden="1" customHeight="1" x14ac:dyDescent="0.3">
      <c r="A537" s="2" t="s">
        <v>7</v>
      </c>
      <c r="B537" s="3">
        <v>44528</v>
      </c>
      <c r="C537" s="4">
        <v>2021</v>
      </c>
      <c r="D537" s="2" t="s">
        <v>187</v>
      </c>
      <c r="E537" s="5">
        <v>33.119999999999997</v>
      </c>
      <c r="F537" s="2" t="s">
        <v>9</v>
      </c>
      <c r="G537" s="4" t="str">
        <f>IF(F537="Payment / Credit","Payment",IF(E537&lt;0,"Income","Spend"))</f>
        <v>Spend</v>
      </c>
    </row>
    <row r="538" spans="1:7" ht="15" hidden="1" customHeight="1" x14ac:dyDescent="0.3">
      <c r="A538" s="2" t="s">
        <v>7</v>
      </c>
      <c r="B538" s="3">
        <v>44529</v>
      </c>
      <c r="C538" s="4">
        <v>2021</v>
      </c>
      <c r="D538" s="2" t="s">
        <v>60</v>
      </c>
      <c r="E538" s="5">
        <v>-38.58</v>
      </c>
      <c r="F538" s="2" t="s">
        <v>13</v>
      </c>
      <c r="G538" s="4" t="str">
        <f>IF(F538="Payment / Credit","Payment",IF(E538&lt;0,"Income","Spend"))</f>
        <v>Income</v>
      </c>
    </row>
    <row r="539" spans="1:7" ht="15" hidden="1" customHeight="1" x14ac:dyDescent="0.3">
      <c r="A539" s="2" t="s">
        <v>7</v>
      </c>
      <c r="B539" s="3">
        <v>44529</v>
      </c>
      <c r="C539" s="4">
        <v>2021</v>
      </c>
      <c r="D539" s="2" t="s">
        <v>153</v>
      </c>
      <c r="E539" s="5">
        <v>17.38</v>
      </c>
      <c r="F539" s="2" t="s">
        <v>9</v>
      </c>
      <c r="G539" s="4" t="str">
        <f>IF(F539="Payment / Credit","Payment",IF(E539&lt;0,"Income","Spend"))</f>
        <v>Spend</v>
      </c>
    </row>
    <row r="540" spans="1:7" ht="15" hidden="1" customHeight="1" x14ac:dyDescent="0.3">
      <c r="A540" s="2" t="s">
        <v>7</v>
      </c>
      <c r="B540" s="3">
        <v>44529</v>
      </c>
      <c r="C540" s="4">
        <v>2021</v>
      </c>
      <c r="D540" s="2" t="s">
        <v>135</v>
      </c>
      <c r="E540" s="5">
        <v>3.06</v>
      </c>
      <c r="F540" s="2" t="s">
        <v>50</v>
      </c>
      <c r="G540" s="4" t="str">
        <f>IF(F540="Payment / Credit","Payment",IF(E540&lt;0,"Income","Spend"))</f>
        <v>Spend</v>
      </c>
    </row>
    <row r="541" spans="1:7" ht="15" hidden="1" customHeight="1" x14ac:dyDescent="0.3">
      <c r="A541" s="2" t="s">
        <v>7</v>
      </c>
      <c r="B541" s="3">
        <v>44529</v>
      </c>
      <c r="C541" s="4">
        <v>2021</v>
      </c>
      <c r="D541" s="2" t="s">
        <v>188</v>
      </c>
      <c r="E541" s="5">
        <v>19</v>
      </c>
      <c r="F541" s="2" t="s">
        <v>13</v>
      </c>
      <c r="G541" s="4" t="str">
        <f>IF(F541="Payment / Credit","Payment",IF(E541&lt;0,"Income","Spend"))</f>
        <v>Spend</v>
      </c>
    </row>
    <row r="542" spans="1:7" ht="15" hidden="1" customHeight="1" x14ac:dyDescent="0.3">
      <c r="A542" s="2" t="s">
        <v>7</v>
      </c>
      <c r="B542" s="3">
        <v>44530</v>
      </c>
      <c r="C542" s="4">
        <v>2021</v>
      </c>
      <c r="D542" s="2" t="s">
        <v>189</v>
      </c>
      <c r="E542" s="5">
        <v>512.30999999999995</v>
      </c>
      <c r="F542" s="2" t="s">
        <v>13</v>
      </c>
      <c r="G542" s="4" t="str">
        <f>IF(F542="Payment / Credit","Payment",IF(E542&lt;0,"Income","Spend"))</f>
        <v>Spend</v>
      </c>
    </row>
    <row r="543" spans="1:7" ht="15" hidden="1" customHeight="1" x14ac:dyDescent="0.3">
      <c r="A543" s="2" t="s">
        <v>7</v>
      </c>
      <c r="B543" s="3">
        <v>44532</v>
      </c>
      <c r="C543" s="4">
        <v>2021</v>
      </c>
      <c r="D543" s="2" t="s">
        <v>35</v>
      </c>
      <c r="E543" s="5">
        <v>16.3</v>
      </c>
      <c r="F543" s="2" t="s">
        <v>9</v>
      </c>
      <c r="G543" s="4" t="str">
        <f>IF(F543="Payment / Credit","Payment",IF(E543&lt;0,"Income","Spend"))</f>
        <v>Spend</v>
      </c>
    </row>
    <row r="544" spans="1:7" ht="15" hidden="1" customHeight="1" x14ac:dyDescent="0.3">
      <c r="A544" s="2" t="s">
        <v>7</v>
      </c>
      <c r="B544" s="3">
        <v>44534</v>
      </c>
      <c r="C544" s="4">
        <v>2021</v>
      </c>
      <c r="D544" s="2" t="s">
        <v>51</v>
      </c>
      <c r="E544" s="5">
        <v>8.9600000000000009</v>
      </c>
      <c r="F544" s="2" t="s">
        <v>9</v>
      </c>
      <c r="G544" s="4" t="str">
        <f>IF(F544="Payment / Credit","Payment",IF(E544&lt;0,"Income","Spend"))</f>
        <v>Spend</v>
      </c>
    </row>
    <row r="545" spans="1:7" ht="15" hidden="1" customHeight="1" x14ac:dyDescent="0.3">
      <c r="A545" s="2" t="s">
        <v>7</v>
      </c>
      <c r="B545" s="3">
        <v>44534</v>
      </c>
      <c r="C545" s="4">
        <v>2021</v>
      </c>
      <c r="D545" s="2" t="s">
        <v>153</v>
      </c>
      <c r="E545" s="5">
        <v>29.75</v>
      </c>
      <c r="F545" s="2" t="s">
        <v>9</v>
      </c>
      <c r="G545" s="4" t="str">
        <f>IF(F545="Payment / Credit","Payment",IF(E545&lt;0,"Income","Spend"))</f>
        <v>Spend</v>
      </c>
    </row>
    <row r="546" spans="1:7" ht="15" hidden="1" customHeight="1" x14ac:dyDescent="0.3">
      <c r="A546" s="2" t="s">
        <v>7</v>
      </c>
      <c r="B546" s="3">
        <v>44534</v>
      </c>
      <c r="C546" s="4">
        <v>2021</v>
      </c>
      <c r="D546" s="2" t="s">
        <v>35</v>
      </c>
      <c r="E546" s="5">
        <v>4.2300000000000004</v>
      </c>
      <c r="F546" s="2" t="s">
        <v>9</v>
      </c>
      <c r="G546" s="4" t="str">
        <f>IF(F546="Payment / Credit","Payment",IF(E546&lt;0,"Income","Spend"))</f>
        <v>Spend</v>
      </c>
    </row>
    <row r="547" spans="1:7" ht="15" hidden="1" customHeight="1" x14ac:dyDescent="0.3">
      <c r="A547" s="2" t="s">
        <v>7</v>
      </c>
      <c r="B547" s="3">
        <v>44534</v>
      </c>
      <c r="C547" s="4">
        <v>2021</v>
      </c>
      <c r="D547" s="2" t="s">
        <v>166</v>
      </c>
      <c r="E547" s="5">
        <v>15.9</v>
      </c>
      <c r="F547" s="2" t="s">
        <v>9</v>
      </c>
      <c r="G547" s="4" t="str">
        <f>IF(F547="Payment / Credit","Payment",IF(E547&lt;0,"Income","Spend"))</f>
        <v>Spend</v>
      </c>
    </row>
    <row r="548" spans="1:7" ht="15" hidden="1" customHeight="1" x14ac:dyDescent="0.3">
      <c r="A548" s="2" t="s">
        <v>7</v>
      </c>
      <c r="B548" s="3">
        <v>44536</v>
      </c>
      <c r="C548" s="4">
        <v>2021</v>
      </c>
      <c r="D548" s="2" t="s">
        <v>190</v>
      </c>
      <c r="E548" s="5">
        <v>74.36</v>
      </c>
      <c r="F548" s="2" t="s">
        <v>123</v>
      </c>
      <c r="G548" s="4" t="str">
        <f>IF(F548="Payment / Credit","Payment",IF(E548&lt;0,"Income","Spend"))</f>
        <v>Spend</v>
      </c>
    </row>
    <row r="549" spans="1:7" ht="15" hidden="1" customHeight="1" x14ac:dyDescent="0.3">
      <c r="A549" s="2" t="s">
        <v>7</v>
      </c>
      <c r="B549" s="3">
        <v>44541</v>
      </c>
      <c r="C549" s="4">
        <v>2021</v>
      </c>
      <c r="D549" s="2" t="s">
        <v>35</v>
      </c>
      <c r="E549" s="5">
        <v>16.940000000000001</v>
      </c>
      <c r="F549" s="2" t="s">
        <v>9</v>
      </c>
      <c r="G549" s="4" t="str">
        <f>IF(F549="Payment / Credit","Payment",IF(E549&lt;0,"Income","Spend"))</f>
        <v>Spend</v>
      </c>
    </row>
    <row r="550" spans="1:7" ht="15" hidden="1" customHeight="1" x14ac:dyDescent="0.3">
      <c r="A550" s="2" t="s">
        <v>7</v>
      </c>
      <c r="B550" s="3">
        <v>44541</v>
      </c>
      <c r="C550" s="4">
        <v>2021</v>
      </c>
      <c r="D550" s="2" t="s">
        <v>63</v>
      </c>
      <c r="E550" s="5">
        <v>81.150000000000006</v>
      </c>
      <c r="F550" s="2" t="s">
        <v>9</v>
      </c>
      <c r="G550" s="4" t="str">
        <f>IF(F550="Payment / Credit","Payment",IF(E550&lt;0,"Income","Spend"))</f>
        <v>Spend</v>
      </c>
    </row>
    <row r="551" spans="1:7" ht="15" hidden="1" customHeight="1" x14ac:dyDescent="0.3">
      <c r="A551" s="2" t="s">
        <v>7</v>
      </c>
      <c r="B551" s="3">
        <v>44541</v>
      </c>
      <c r="C551" s="4">
        <v>2021</v>
      </c>
      <c r="D551" s="2" t="s">
        <v>125</v>
      </c>
      <c r="E551" s="5">
        <v>43.34</v>
      </c>
      <c r="F551" s="2" t="s">
        <v>11</v>
      </c>
      <c r="G551" s="4" t="str">
        <f>IF(F551="Payment / Credit","Payment",IF(E551&lt;0,"Income","Spend"))</f>
        <v>Spend</v>
      </c>
    </row>
    <row r="552" spans="1:7" ht="15" hidden="1" customHeight="1" x14ac:dyDescent="0.3">
      <c r="A552" s="2" t="s">
        <v>7</v>
      </c>
      <c r="B552" s="3">
        <v>44541</v>
      </c>
      <c r="C552" s="4">
        <v>2021</v>
      </c>
      <c r="D552" s="2" t="s">
        <v>51</v>
      </c>
      <c r="E552" s="5">
        <v>8.17</v>
      </c>
      <c r="F552" s="2" t="s">
        <v>9</v>
      </c>
      <c r="G552" s="4" t="str">
        <f>IF(F552="Payment / Credit","Payment",IF(E552&lt;0,"Income","Spend"))</f>
        <v>Spend</v>
      </c>
    </row>
    <row r="553" spans="1:7" ht="15" hidden="1" customHeight="1" x14ac:dyDescent="0.3">
      <c r="A553" s="2" t="s">
        <v>7</v>
      </c>
      <c r="B553" s="3">
        <v>44541</v>
      </c>
      <c r="C553" s="4">
        <v>2021</v>
      </c>
      <c r="D553" s="2" t="s">
        <v>69</v>
      </c>
      <c r="E553" s="5">
        <v>20.89</v>
      </c>
      <c r="F553" s="2" t="s">
        <v>9</v>
      </c>
      <c r="G553" s="4" t="str">
        <f>IF(F553="Payment / Credit","Payment",IF(E553&lt;0,"Income","Spend"))</f>
        <v>Spend</v>
      </c>
    </row>
    <row r="554" spans="1:7" ht="15" hidden="1" customHeight="1" x14ac:dyDescent="0.3">
      <c r="A554" s="2" t="s">
        <v>7</v>
      </c>
      <c r="B554" s="3">
        <v>44542</v>
      </c>
      <c r="C554" s="4">
        <v>2021</v>
      </c>
      <c r="D554" s="2" t="s">
        <v>46</v>
      </c>
      <c r="E554" s="5">
        <v>-2885.84</v>
      </c>
      <c r="F554" s="2" t="s">
        <v>47</v>
      </c>
      <c r="G554" s="4" t="str">
        <f>IF(F554="Payment / Credit","Payment",IF(E554&lt;0,"Income","Spend"))</f>
        <v>Payment</v>
      </c>
    </row>
    <row r="556" spans="1:7" ht="15" customHeight="1" x14ac:dyDescent="0.3">
      <c r="D556" s="6" t="s">
        <v>191</v>
      </c>
      <c r="E556" s="7">
        <f>SUMIF(E2:E554,"&gt;0")</f>
        <v>19821.849999999999</v>
      </c>
    </row>
    <row r="557" spans="1:7" ht="15" customHeight="1" x14ac:dyDescent="0.3">
      <c r="D557" s="6" t="s">
        <v>192</v>
      </c>
      <c r="E557" s="7">
        <f>SUMIF(E2:E554,"&lt;0")</f>
        <v>-18165.760000000002</v>
      </c>
    </row>
  </sheetData>
  <autoFilter ref="A1:G554" xr:uid="{00000000-0009-0000-0000-000000000000}">
    <filterColumn colId="5">
      <filters>
        <filter val="Other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95FAA-AE3D-47F7-8D0A-B2802BEA656C}">
  <dimension ref="A1:G47"/>
  <sheetViews>
    <sheetView workbookViewId="0">
      <selection activeCell="E5" sqref="E5"/>
    </sheetView>
  </sheetViews>
  <sheetFormatPr defaultRowHeight="14.4" x14ac:dyDescent="0.3"/>
  <cols>
    <col min="1" max="1" width="10.88671875" bestFit="1" customWidth="1"/>
    <col min="2" max="2" width="10.5546875" bestFit="1" customWidth="1"/>
    <col min="3" max="3" width="4.88671875" bestFit="1" customWidth="1"/>
    <col min="4" max="4" width="37.88671875" bestFit="1" customWidth="1"/>
    <col min="5" max="5" width="9.33203125" bestFit="1" customWidth="1"/>
    <col min="6" max="6" width="17.5546875" bestFit="1" customWidth="1"/>
    <col min="7" max="7" width="14.5546875" bestFit="1" customWidth="1"/>
  </cols>
  <sheetData>
    <row r="1" spans="1: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7</v>
      </c>
      <c r="B2" s="8">
        <v>43845</v>
      </c>
      <c r="C2">
        <v>2020</v>
      </c>
      <c r="D2" t="s">
        <v>204</v>
      </c>
      <c r="E2" s="9">
        <v>2500</v>
      </c>
      <c r="F2" t="s">
        <v>205</v>
      </c>
      <c r="G2" t="s">
        <v>204</v>
      </c>
    </row>
    <row r="3" spans="1:7" x14ac:dyDescent="0.3">
      <c r="A3" t="s">
        <v>7</v>
      </c>
      <c r="B3" s="8">
        <v>43861</v>
      </c>
      <c r="C3">
        <v>2020</v>
      </c>
      <c r="D3" t="s">
        <v>204</v>
      </c>
      <c r="E3" s="9">
        <v>2500</v>
      </c>
      <c r="F3" t="s">
        <v>205</v>
      </c>
      <c r="G3" t="s">
        <v>204</v>
      </c>
    </row>
    <row r="4" spans="1:7" x14ac:dyDescent="0.3">
      <c r="A4" t="s">
        <v>7</v>
      </c>
      <c r="B4" s="8">
        <v>43877</v>
      </c>
      <c r="C4">
        <v>2020</v>
      </c>
      <c r="D4" t="s">
        <v>204</v>
      </c>
      <c r="E4" s="9">
        <v>5500</v>
      </c>
      <c r="F4" t="s">
        <v>205</v>
      </c>
      <c r="G4" t="s">
        <v>204</v>
      </c>
    </row>
    <row r="5" spans="1:7" x14ac:dyDescent="0.3">
      <c r="A5" t="s">
        <v>7</v>
      </c>
      <c r="B5" s="8">
        <v>43893</v>
      </c>
      <c r="C5">
        <v>2020</v>
      </c>
      <c r="D5" t="s">
        <v>204</v>
      </c>
      <c r="E5" s="9">
        <v>2500</v>
      </c>
      <c r="F5" t="s">
        <v>205</v>
      </c>
      <c r="G5" t="s">
        <v>204</v>
      </c>
    </row>
    <row r="6" spans="1:7" x14ac:dyDescent="0.3">
      <c r="A6" t="s">
        <v>7</v>
      </c>
      <c r="B6" s="8">
        <v>43909</v>
      </c>
      <c r="C6">
        <v>2020</v>
      </c>
      <c r="D6" t="s">
        <v>204</v>
      </c>
      <c r="E6" s="9">
        <v>2500</v>
      </c>
      <c r="F6" t="s">
        <v>205</v>
      </c>
      <c r="G6" t="s">
        <v>204</v>
      </c>
    </row>
    <row r="7" spans="1:7" x14ac:dyDescent="0.3">
      <c r="A7" t="s">
        <v>7</v>
      </c>
      <c r="B7" s="8">
        <v>43925</v>
      </c>
      <c r="C7">
        <v>2020</v>
      </c>
      <c r="D7" t="s">
        <v>204</v>
      </c>
      <c r="E7" s="9">
        <v>2500</v>
      </c>
      <c r="F7" t="s">
        <v>205</v>
      </c>
      <c r="G7" t="s">
        <v>204</v>
      </c>
    </row>
    <row r="8" spans="1:7" x14ac:dyDescent="0.3">
      <c r="A8" t="s">
        <v>7</v>
      </c>
      <c r="B8" s="8">
        <v>43941</v>
      </c>
      <c r="C8">
        <v>2020</v>
      </c>
      <c r="D8" t="s">
        <v>204</v>
      </c>
      <c r="E8" s="9">
        <v>2500</v>
      </c>
      <c r="F8" t="s">
        <v>205</v>
      </c>
      <c r="G8" t="s">
        <v>204</v>
      </c>
    </row>
    <row r="9" spans="1:7" x14ac:dyDescent="0.3">
      <c r="A9" t="s">
        <v>7</v>
      </c>
      <c r="B9" s="8">
        <v>43957</v>
      </c>
      <c r="C9">
        <v>2020</v>
      </c>
      <c r="D9" t="s">
        <v>204</v>
      </c>
      <c r="E9" s="9">
        <v>2500</v>
      </c>
      <c r="F9" t="s">
        <v>205</v>
      </c>
      <c r="G9" t="s">
        <v>204</v>
      </c>
    </row>
    <row r="10" spans="1:7" x14ac:dyDescent="0.3">
      <c r="A10" t="s">
        <v>7</v>
      </c>
      <c r="B10" s="8">
        <v>43973</v>
      </c>
      <c r="C10">
        <v>2020</v>
      </c>
      <c r="D10" t="s">
        <v>204</v>
      </c>
      <c r="E10" s="9">
        <v>2500</v>
      </c>
      <c r="F10" t="s">
        <v>205</v>
      </c>
      <c r="G10" t="s">
        <v>204</v>
      </c>
    </row>
    <row r="11" spans="1:7" x14ac:dyDescent="0.3">
      <c r="A11" t="s">
        <v>7</v>
      </c>
      <c r="B11" s="8">
        <v>43989</v>
      </c>
      <c r="C11">
        <v>2020</v>
      </c>
      <c r="D11" t="s">
        <v>204</v>
      </c>
      <c r="E11" s="9">
        <v>2500</v>
      </c>
      <c r="F11" t="s">
        <v>205</v>
      </c>
      <c r="G11" t="s">
        <v>204</v>
      </c>
    </row>
    <row r="12" spans="1:7" x14ac:dyDescent="0.3">
      <c r="A12" t="s">
        <v>7</v>
      </c>
      <c r="B12" s="8">
        <v>44005</v>
      </c>
      <c r="C12">
        <v>2020</v>
      </c>
      <c r="D12" t="s">
        <v>204</v>
      </c>
      <c r="E12" s="9">
        <v>2500</v>
      </c>
      <c r="F12" t="s">
        <v>205</v>
      </c>
      <c r="G12" t="s">
        <v>204</v>
      </c>
    </row>
    <row r="13" spans="1:7" x14ac:dyDescent="0.3">
      <c r="A13" t="s">
        <v>7</v>
      </c>
      <c r="B13" s="8">
        <v>44021</v>
      </c>
      <c r="C13">
        <v>2020</v>
      </c>
      <c r="D13" t="s">
        <v>204</v>
      </c>
      <c r="E13" s="9">
        <v>2500</v>
      </c>
      <c r="F13" t="s">
        <v>205</v>
      </c>
      <c r="G13" t="s">
        <v>204</v>
      </c>
    </row>
    <row r="14" spans="1:7" x14ac:dyDescent="0.3">
      <c r="A14" t="s">
        <v>7</v>
      </c>
      <c r="B14" s="8">
        <v>44037</v>
      </c>
      <c r="C14">
        <v>2020</v>
      </c>
      <c r="D14" t="s">
        <v>204</v>
      </c>
      <c r="E14" s="9">
        <v>2500</v>
      </c>
      <c r="F14" t="s">
        <v>205</v>
      </c>
      <c r="G14" t="s">
        <v>204</v>
      </c>
    </row>
    <row r="15" spans="1:7" x14ac:dyDescent="0.3">
      <c r="A15" t="s">
        <v>7</v>
      </c>
      <c r="B15" s="8">
        <v>44053</v>
      </c>
      <c r="C15">
        <v>2020</v>
      </c>
      <c r="D15" t="s">
        <v>204</v>
      </c>
      <c r="E15" s="9">
        <v>2500</v>
      </c>
      <c r="F15" t="s">
        <v>205</v>
      </c>
      <c r="G15" t="s">
        <v>204</v>
      </c>
    </row>
    <row r="16" spans="1:7" x14ac:dyDescent="0.3">
      <c r="A16" t="s">
        <v>7</v>
      </c>
      <c r="B16" s="8">
        <v>44069</v>
      </c>
      <c r="C16">
        <v>2020</v>
      </c>
      <c r="D16" t="s">
        <v>204</v>
      </c>
      <c r="E16" s="9">
        <v>2500</v>
      </c>
      <c r="F16" t="s">
        <v>205</v>
      </c>
      <c r="G16" t="s">
        <v>204</v>
      </c>
    </row>
    <row r="17" spans="1:7" x14ac:dyDescent="0.3">
      <c r="A17" t="s">
        <v>7</v>
      </c>
      <c r="B17" s="8">
        <v>44085</v>
      </c>
      <c r="C17">
        <v>2020</v>
      </c>
      <c r="D17" t="s">
        <v>204</v>
      </c>
      <c r="E17" s="9">
        <v>2500</v>
      </c>
      <c r="F17" t="s">
        <v>205</v>
      </c>
      <c r="G17" t="s">
        <v>204</v>
      </c>
    </row>
    <row r="18" spans="1:7" x14ac:dyDescent="0.3">
      <c r="A18" t="s">
        <v>7</v>
      </c>
      <c r="B18" s="8">
        <v>44101</v>
      </c>
      <c r="C18">
        <v>2020</v>
      </c>
      <c r="D18" t="s">
        <v>204</v>
      </c>
      <c r="E18" s="9">
        <v>2500</v>
      </c>
      <c r="F18" t="s">
        <v>205</v>
      </c>
      <c r="G18" t="s">
        <v>204</v>
      </c>
    </row>
    <row r="19" spans="1:7" x14ac:dyDescent="0.3">
      <c r="A19" t="s">
        <v>7</v>
      </c>
      <c r="B19" s="8">
        <v>44117</v>
      </c>
      <c r="C19">
        <v>2020</v>
      </c>
      <c r="D19" t="s">
        <v>204</v>
      </c>
      <c r="E19" s="9">
        <v>2500</v>
      </c>
      <c r="F19" t="s">
        <v>205</v>
      </c>
      <c r="G19" t="s">
        <v>204</v>
      </c>
    </row>
    <row r="20" spans="1:7" x14ac:dyDescent="0.3">
      <c r="A20" t="s">
        <v>7</v>
      </c>
      <c r="B20" s="8">
        <v>44133</v>
      </c>
      <c r="C20">
        <v>2020</v>
      </c>
      <c r="D20" t="s">
        <v>204</v>
      </c>
      <c r="E20" s="9">
        <v>2500</v>
      </c>
      <c r="F20" t="s">
        <v>205</v>
      </c>
      <c r="G20" t="s">
        <v>204</v>
      </c>
    </row>
    <row r="21" spans="1:7" x14ac:dyDescent="0.3">
      <c r="A21" t="s">
        <v>7</v>
      </c>
      <c r="B21" s="8">
        <v>44149</v>
      </c>
      <c r="C21">
        <v>2020</v>
      </c>
      <c r="D21" t="s">
        <v>204</v>
      </c>
      <c r="E21" s="9">
        <v>2500</v>
      </c>
      <c r="F21" t="s">
        <v>205</v>
      </c>
      <c r="G21" t="s">
        <v>204</v>
      </c>
    </row>
    <row r="22" spans="1:7" x14ac:dyDescent="0.3">
      <c r="A22" t="s">
        <v>7</v>
      </c>
      <c r="B22" s="8">
        <v>44165</v>
      </c>
      <c r="C22">
        <v>2020</v>
      </c>
      <c r="D22" t="s">
        <v>204</v>
      </c>
      <c r="E22" s="9">
        <v>2500</v>
      </c>
      <c r="F22" t="s">
        <v>205</v>
      </c>
      <c r="G22" t="s">
        <v>204</v>
      </c>
    </row>
    <row r="23" spans="1:7" x14ac:dyDescent="0.3">
      <c r="A23" t="s">
        <v>7</v>
      </c>
      <c r="B23" s="8">
        <v>44179</v>
      </c>
      <c r="C23">
        <v>2020</v>
      </c>
      <c r="D23" t="s">
        <v>204</v>
      </c>
      <c r="E23" s="9">
        <v>2500</v>
      </c>
      <c r="F23" t="s">
        <v>205</v>
      </c>
      <c r="G23" t="s">
        <v>204</v>
      </c>
    </row>
    <row r="24" spans="1:7" x14ac:dyDescent="0.3">
      <c r="A24" t="s">
        <v>7</v>
      </c>
      <c r="B24" s="8">
        <v>44195</v>
      </c>
      <c r="C24">
        <v>2020</v>
      </c>
      <c r="D24" t="s">
        <v>204</v>
      </c>
      <c r="E24" s="9">
        <v>2500</v>
      </c>
      <c r="F24" t="s">
        <v>205</v>
      </c>
      <c r="G24" t="s">
        <v>204</v>
      </c>
    </row>
    <row r="25" spans="1:7" x14ac:dyDescent="0.3">
      <c r="A25" t="s">
        <v>7</v>
      </c>
      <c r="B25" s="8">
        <v>44197</v>
      </c>
      <c r="C25">
        <v>2020</v>
      </c>
      <c r="D25" t="s">
        <v>204</v>
      </c>
      <c r="E25" s="9">
        <v>2500</v>
      </c>
      <c r="F25" t="s">
        <v>205</v>
      </c>
      <c r="G25" t="s">
        <v>204</v>
      </c>
    </row>
    <row r="26" spans="1:7" x14ac:dyDescent="0.3">
      <c r="A26" t="s">
        <v>7</v>
      </c>
      <c r="B26" s="8">
        <v>44213</v>
      </c>
      <c r="C26">
        <v>2020</v>
      </c>
      <c r="D26" t="s">
        <v>204</v>
      </c>
      <c r="E26" s="9">
        <v>2500</v>
      </c>
      <c r="F26" t="s">
        <v>205</v>
      </c>
      <c r="G26" t="s">
        <v>204</v>
      </c>
    </row>
    <row r="27" spans="1:7" x14ac:dyDescent="0.3">
      <c r="A27" t="s">
        <v>7</v>
      </c>
      <c r="B27" s="8">
        <v>44229</v>
      </c>
      <c r="C27">
        <v>2020</v>
      </c>
      <c r="D27" t="s">
        <v>204</v>
      </c>
      <c r="E27" s="9">
        <v>2500</v>
      </c>
      <c r="F27" t="s">
        <v>205</v>
      </c>
      <c r="G27" t="s">
        <v>204</v>
      </c>
    </row>
    <row r="28" spans="1:7" x14ac:dyDescent="0.3">
      <c r="A28" t="s">
        <v>7</v>
      </c>
      <c r="B28" s="8">
        <v>44245</v>
      </c>
      <c r="C28">
        <v>2020</v>
      </c>
      <c r="D28" t="s">
        <v>204</v>
      </c>
      <c r="E28" s="9">
        <v>2500</v>
      </c>
      <c r="F28" t="s">
        <v>205</v>
      </c>
      <c r="G28" t="s">
        <v>204</v>
      </c>
    </row>
    <row r="29" spans="1:7" x14ac:dyDescent="0.3">
      <c r="A29" t="s">
        <v>7</v>
      </c>
      <c r="B29" s="8">
        <v>44261</v>
      </c>
      <c r="C29">
        <v>2020</v>
      </c>
      <c r="D29" t="s">
        <v>204</v>
      </c>
      <c r="E29" s="9">
        <v>2500</v>
      </c>
      <c r="F29" t="s">
        <v>205</v>
      </c>
      <c r="G29" t="s">
        <v>204</v>
      </c>
    </row>
    <row r="30" spans="1:7" x14ac:dyDescent="0.3">
      <c r="A30" t="s">
        <v>7</v>
      </c>
      <c r="B30" s="8">
        <v>44277</v>
      </c>
      <c r="C30">
        <v>2020</v>
      </c>
      <c r="D30" t="s">
        <v>204</v>
      </c>
      <c r="E30" s="9">
        <v>2500</v>
      </c>
      <c r="F30" t="s">
        <v>205</v>
      </c>
      <c r="G30" t="s">
        <v>204</v>
      </c>
    </row>
    <row r="31" spans="1:7" x14ac:dyDescent="0.3">
      <c r="A31" t="s">
        <v>7</v>
      </c>
      <c r="B31" s="8">
        <v>44293</v>
      </c>
      <c r="C31">
        <v>2020</v>
      </c>
      <c r="D31" t="s">
        <v>204</v>
      </c>
      <c r="E31" s="9">
        <v>2500</v>
      </c>
      <c r="F31" t="s">
        <v>205</v>
      </c>
      <c r="G31" t="s">
        <v>204</v>
      </c>
    </row>
    <row r="32" spans="1:7" x14ac:dyDescent="0.3">
      <c r="A32" t="s">
        <v>7</v>
      </c>
      <c r="B32" s="8">
        <v>44309</v>
      </c>
      <c r="C32">
        <v>2020</v>
      </c>
      <c r="D32" t="s">
        <v>204</v>
      </c>
      <c r="E32" s="9">
        <v>2500</v>
      </c>
      <c r="F32" t="s">
        <v>205</v>
      </c>
      <c r="G32" t="s">
        <v>204</v>
      </c>
    </row>
    <row r="33" spans="1:7" x14ac:dyDescent="0.3">
      <c r="A33" t="s">
        <v>7</v>
      </c>
      <c r="B33" s="8">
        <v>44325</v>
      </c>
      <c r="C33">
        <v>2020</v>
      </c>
      <c r="D33" t="s">
        <v>204</v>
      </c>
      <c r="E33" s="9">
        <v>2500</v>
      </c>
      <c r="F33" t="s">
        <v>205</v>
      </c>
      <c r="G33" t="s">
        <v>204</v>
      </c>
    </row>
    <row r="34" spans="1:7" x14ac:dyDescent="0.3">
      <c r="A34" t="s">
        <v>7</v>
      </c>
      <c r="B34" s="8">
        <v>44341</v>
      </c>
      <c r="C34">
        <v>2020</v>
      </c>
      <c r="D34" t="s">
        <v>204</v>
      </c>
      <c r="E34" s="9">
        <v>2500</v>
      </c>
      <c r="F34" t="s">
        <v>205</v>
      </c>
      <c r="G34" t="s">
        <v>204</v>
      </c>
    </row>
    <row r="35" spans="1:7" x14ac:dyDescent="0.3">
      <c r="A35" t="s">
        <v>7</v>
      </c>
      <c r="B35" s="8">
        <v>44357</v>
      </c>
      <c r="C35">
        <v>2020</v>
      </c>
      <c r="D35" t="s">
        <v>204</v>
      </c>
      <c r="E35" s="9">
        <v>2500</v>
      </c>
      <c r="F35" t="s">
        <v>205</v>
      </c>
      <c r="G35" t="s">
        <v>204</v>
      </c>
    </row>
    <row r="36" spans="1:7" x14ac:dyDescent="0.3">
      <c r="A36" t="s">
        <v>7</v>
      </c>
      <c r="B36" s="8">
        <v>44373</v>
      </c>
      <c r="C36">
        <v>2020</v>
      </c>
      <c r="D36" t="s">
        <v>204</v>
      </c>
      <c r="E36" s="9">
        <v>2500</v>
      </c>
      <c r="F36" t="s">
        <v>205</v>
      </c>
      <c r="G36" t="s">
        <v>204</v>
      </c>
    </row>
    <row r="37" spans="1:7" x14ac:dyDescent="0.3">
      <c r="A37" t="s">
        <v>7</v>
      </c>
      <c r="B37" s="8">
        <v>44389</v>
      </c>
      <c r="C37">
        <v>2020</v>
      </c>
      <c r="D37" t="s">
        <v>204</v>
      </c>
      <c r="E37" s="9">
        <v>2500</v>
      </c>
      <c r="F37" t="s">
        <v>205</v>
      </c>
      <c r="G37" t="s">
        <v>204</v>
      </c>
    </row>
    <row r="38" spans="1:7" x14ac:dyDescent="0.3">
      <c r="A38" t="s">
        <v>7</v>
      </c>
      <c r="B38" s="8">
        <v>44405</v>
      </c>
      <c r="C38">
        <v>2020</v>
      </c>
      <c r="D38" t="s">
        <v>204</v>
      </c>
      <c r="E38" s="9">
        <v>2500</v>
      </c>
      <c r="F38" t="s">
        <v>205</v>
      </c>
      <c r="G38" t="s">
        <v>204</v>
      </c>
    </row>
    <row r="39" spans="1:7" x14ac:dyDescent="0.3">
      <c r="A39" t="s">
        <v>7</v>
      </c>
      <c r="B39" s="8">
        <v>44421</v>
      </c>
      <c r="C39">
        <v>2020</v>
      </c>
      <c r="D39" t="s">
        <v>204</v>
      </c>
      <c r="E39" s="9">
        <v>2500</v>
      </c>
      <c r="F39" t="s">
        <v>205</v>
      </c>
      <c r="G39" t="s">
        <v>204</v>
      </c>
    </row>
    <row r="40" spans="1:7" x14ac:dyDescent="0.3">
      <c r="A40" t="s">
        <v>7</v>
      </c>
      <c r="B40" s="8">
        <v>44437</v>
      </c>
      <c r="C40">
        <v>2020</v>
      </c>
      <c r="D40" t="s">
        <v>204</v>
      </c>
      <c r="E40" s="9">
        <v>2500</v>
      </c>
      <c r="F40" t="s">
        <v>205</v>
      </c>
      <c r="G40" t="s">
        <v>204</v>
      </c>
    </row>
    <row r="41" spans="1:7" x14ac:dyDescent="0.3">
      <c r="A41" t="s">
        <v>7</v>
      </c>
      <c r="B41" s="8">
        <v>44453</v>
      </c>
      <c r="C41">
        <v>2020</v>
      </c>
      <c r="D41" t="s">
        <v>204</v>
      </c>
      <c r="E41" s="9">
        <v>2500</v>
      </c>
      <c r="F41" t="s">
        <v>205</v>
      </c>
      <c r="G41" t="s">
        <v>204</v>
      </c>
    </row>
    <row r="42" spans="1:7" x14ac:dyDescent="0.3">
      <c r="A42" t="s">
        <v>7</v>
      </c>
      <c r="B42" s="8">
        <v>44469</v>
      </c>
      <c r="C42">
        <v>2020</v>
      </c>
      <c r="D42" t="s">
        <v>204</v>
      </c>
      <c r="E42" s="9">
        <v>2500</v>
      </c>
      <c r="F42" t="s">
        <v>205</v>
      </c>
      <c r="G42" t="s">
        <v>204</v>
      </c>
    </row>
    <row r="43" spans="1:7" x14ac:dyDescent="0.3">
      <c r="A43" t="s">
        <v>7</v>
      </c>
      <c r="B43" s="8">
        <v>44485</v>
      </c>
      <c r="C43">
        <v>2020</v>
      </c>
      <c r="D43" t="s">
        <v>204</v>
      </c>
      <c r="E43" s="9">
        <v>5500</v>
      </c>
      <c r="F43" t="s">
        <v>205</v>
      </c>
      <c r="G43" t="s">
        <v>204</v>
      </c>
    </row>
    <row r="44" spans="1:7" x14ac:dyDescent="0.3">
      <c r="A44" t="s">
        <v>7</v>
      </c>
      <c r="B44" s="8">
        <v>44501</v>
      </c>
      <c r="C44">
        <v>2020</v>
      </c>
      <c r="D44" t="s">
        <v>204</v>
      </c>
      <c r="E44" s="9">
        <v>2500</v>
      </c>
      <c r="F44" t="s">
        <v>205</v>
      </c>
      <c r="G44" t="s">
        <v>204</v>
      </c>
    </row>
    <row r="45" spans="1:7" x14ac:dyDescent="0.3">
      <c r="A45" t="s">
        <v>7</v>
      </c>
      <c r="B45" s="8">
        <v>44517</v>
      </c>
      <c r="C45">
        <v>2020</v>
      </c>
      <c r="D45" t="s">
        <v>204</v>
      </c>
      <c r="E45" s="9">
        <v>2500</v>
      </c>
      <c r="F45" t="s">
        <v>205</v>
      </c>
      <c r="G45" t="s">
        <v>204</v>
      </c>
    </row>
    <row r="46" spans="1:7" x14ac:dyDescent="0.3">
      <c r="A46" t="s">
        <v>7</v>
      </c>
      <c r="B46" s="8">
        <v>44533</v>
      </c>
      <c r="C46">
        <v>2020</v>
      </c>
      <c r="D46" t="s">
        <v>204</v>
      </c>
      <c r="E46" s="9">
        <v>2500</v>
      </c>
      <c r="F46" t="s">
        <v>205</v>
      </c>
      <c r="G46" t="s">
        <v>204</v>
      </c>
    </row>
    <row r="47" spans="1:7" x14ac:dyDescent="0.3">
      <c r="A47" t="s">
        <v>7</v>
      </c>
      <c r="B47" s="8">
        <v>44549</v>
      </c>
      <c r="C47">
        <v>2020</v>
      </c>
      <c r="D47" t="s">
        <v>204</v>
      </c>
      <c r="E47" s="9">
        <v>2500</v>
      </c>
      <c r="F47" t="s">
        <v>205</v>
      </c>
      <c r="G47" t="s">
        <v>204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zoomScaleNormal="100" workbookViewId="0"/>
  </sheetViews>
  <sheetFormatPr defaultColWidth="8.6640625" defaultRowHeight="14.4" x14ac:dyDescent="0.3"/>
  <cols>
    <col min="1" max="1" width="120" customWidth="1"/>
  </cols>
  <sheetData>
    <row r="1" spans="1:1" ht="15" customHeight="1" x14ac:dyDescent="0.3">
      <c r="A1" s="2" t="s">
        <v>193</v>
      </c>
    </row>
    <row r="2" spans="1:1" ht="15" customHeight="1" x14ac:dyDescent="0.3">
      <c r="A2" s="2" t="s">
        <v>194</v>
      </c>
    </row>
    <row r="3" spans="1:1" ht="15" customHeight="1" x14ac:dyDescent="0.3">
      <c r="A3" s="2" t="s">
        <v>195</v>
      </c>
    </row>
    <row r="4" spans="1:1" ht="15" customHeight="1" x14ac:dyDescent="0.3">
      <c r="A4" s="2" t="s">
        <v>196</v>
      </c>
    </row>
    <row r="5" spans="1:1" ht="15" customHeight="1" x14ac:dyDescent="0.3">
      <c r="A5" s="2" t="s">
        <v>197</v>
      </c>
    </row>
    <row r="6" spans="1:1" ht="15" customHeight="1" x14ac:dyDescent="0.3">
      <c r="A6" s="2" t="s">
        <v>198</v>
      </c>
    </row>
    <row r="7" spans="1:1" ht="15" customHeight="1" x14ac:dyDescent="0.3">
      <c r="A7" s="2" t="s">
        <v>199</v>
      </c>
    </row>
    <row r="8" spans="1:1" ht="15" customHeight="1" x14ac:dyDescent="0.3">
      <c r="A8" s="2" t="s">
        <v>200</v>
      </c>
    </row>
    <row r="9" spans="1:1" ht="15" customHeight="1" x14ac:dyDescent="0.3">
      <c r="A9" s="2" t="s">
        <v>201</v>
      </c>
    </row>
    <row r="10" spans="1:1" ht="15" customHeight="1" x14ac:dyDescent="0.3">
      <c r="A10" s="2" t="inlineStr">
        <is>
          <t>Transactions that fit none of the named categories (Supermarket / Groceries, Restaurant / Fast-food, Merchandise / Clothing, Gas / Fuel, Home Improvement, Beverages / Bar, Pharmacy, Travel &amp; Hospitality, Vehicle, Entertainment, Services, Medical, Personal) are labelled "Other".</t>
        </is>
      </c>
    </row>
    <row r="11" spans="1:1" x14ac:dyDescent="0.3">
      <c r="A11" s="2" t="inlineStr">
        <is>
          <t>Spend / Income / Payments: formula-driven — card payments (Category "Payment / Credit") are Payment; otherwise positive amounts are Spend and negative amounts (merchant refunds) are Income.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Transactions</vt:lpstr>
      <vt:lpstr>Income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Tilju Manjaly</cp:lastModifiedBy>
  <cp:revision>0</cp:revision>
  <dcterms:created xsi:type="dcterms:W3CDTF">2026-09-24T23:16:02Z</dcterms:created>
  <dcterms:modified xsi:type="dcterms:W3CDTF">2026-09-26T02:30:29Z</dcterms:modified>
  <dc:language>en-US</dc:language>
</cp:coreProperties>
</file>